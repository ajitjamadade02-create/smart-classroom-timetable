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9040" windowHeight="15720"/>
  </bookViews>
  <sheets>
    <sheet name="WL Distribution ODD Sem-2026-27" sheetId="2" r:id="rId1"/>
    <sheet name="WLDistribution EVEN Sem-2026-76" sheetId="3" r:id="rId2"/>
  </sheets>
  <definedNames>
    <definedName name="_xlnm.Print_Area" localSheetId="0">'WL Distribution ODD Sem-2026-27'!$A$1:$J$127</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5" i="2"/>
  <c r="J61"/>
  <c r="J56"/>
  <c r="J112"/>
  <c r="J108"/>
  <c r="J103"/>
  <c r="J95"/>
  <c r="J90"/>
  <c r="J80"/>
  <c r="J71"/>
  <c r="J66"/>
  <c r="J52"/>
  <c r="J40"/>
  <c r="J35"/>
  <c r="J30"/>
  <c r="J25"/>
  <c r="J20"/>
  <c r="J15"/>
  <c r="J10"/>
  <c r="J85"/>
  <c r="J7"/>
  <c r="H59" i="3" l="1"/>
  <c r="H27"/>
  <c r="H17"/>
  <c r="H10"/>
  <c r="J44" i="2"/>
  <c r="J117" l="1"/>
  <c r="H76" i="3"/>
  <c r="H63"/>
  <c r="H55"/>
  <c r="H50"/>
  <c r="H46"/>
  <c r="H41"/>
  <c r="H36"/>
  <c r="H31"/>
  <c r="H23"/>
  <c r="H20"/>
  <c r="H13"/>
  <c r="H80"/>
  <c r="H7"/>
  <c r="H97" s="1"/>
</calcChain>
</file>

<file path=xl/sharedStrings.xml><?xml version="1.0" encoding="utf-8"?>
<sst xmlns="http://schemas.openxmlformats.org/spreadsheetml/2006/main" count="509" uniqueCount="200">
  <si>
    <t>Tutorial</t>
  </si>
  <si>
    <t>Theory</t>
  </si>
  <si>
    <t>Practical</t>
  </si>
  <si>
    <t>Sum</t>
  </si>
  <si>
    <t xml:space="preserve">   </t>
  </si>
  <si>
    <t>Sr. No.</t>
  </si>
  <si>
    <t>UG and PG Workload Distribution</t>
  </si>
  <si>
    <t xml:space="preserve">Class </t>
  </si>
  <si>
    <t>Course Name (Course Code)</t>
  </si>
  <si>
    <t>Total UG and PG Workload Distributed (hours)</t>
  </si>
  <si>
    <t>NOTE:</t>
  </si>
  <si>
    <t>Departmental Academic Coordinator</t>
  </si>
  <si>
    <t>Head of the Department</t>
  </si>
  <si>
    <t>Name and Signature</t>
  </si>
  <si>
    <t>Date:</t>
  </si>
  <si>
    <t>Place:</t>
  </si>
  <si>
    <t>Kolhapur Institute of Technology's College of Engineering Kolhapur (Empowered Autonomous)</t>
  </si>
  <si>
    <t>Details of Workload Distributed to Available Faculties in hours</t>
  </si>
  <si>
    <t>Name of Faculty</t>
  </si>
  <si>
    <t>Designation</t>
  </si>
  <si>
    <t>No. of Divisions</t>
  </si>
  <si>
    <t>Dr. Mrs. Uma P Gurav</t>
  </si>
  <si>
    <t>Dr. Pradeep S. Khot</t>
  </si>
  <si>
    <t>Department of Computer Science &amp; Engineering(AIML &amp; DS)</t>
  </si>
  <si>
    <t>Vinay Prabhvalkar</t>
  </si>
  <si>
    <t>Shekhar Jalane</t>
  </si>
  <si>
    <t>Komal Jadhav</t>
  </si>
  <si>
    <t>Sapana G. Buwa</t>
  </si>
  <si>
    <t xml:space="preserve"> Nikhil Bhosale</t>
  </si>
  <si>
    <t>Karishma Tamboli</t>
  </si>
  <si>
    <t>Sujeeta Shah</t>
  </si>
  <si>
    <t>Avinash Budargade</t>
  </si>
  <si>
    <t>Nitish Shinde</t>
  </si>
  <si>
    <t>Digvijay Kadam</t>
  </si>
  <si>
    <t>Amruta Chougule</t>
  </si>
  <si>
    <t>B.Tech.Final Year</t>
  </si>
  <si>
    <t>SY(AIML)-A</t>
  </si>
  <si>
    <t>Discrete Mathematics and Graph Theory (UAMPC0302)</t>
  </si>
  <si>
    <t>SY(AIML)-C</t>
  </si>
  <si>
    <t>Machine Learning (UAMPC0501)</t>
  </si>
  <si>
    <t>T. Y(AIML A)</t>
  </si>
  <si>
    <t>Computer Organization and Operating System(UAMPC0502)</t>
  </si>
  <si>
    <t>T. Y(AIML B)</t>
  </si>
  <si>
    <t>Advanced Data Structures Laboratory (UAMPC0331)</t>
  </si>
  <si>
    <t>Mini Project-I(UAMPC0371)</t>
  </si>
  <si>
    <t>Kolhapur Institute of Technology's College of Engineering (Autonomous), Kolhapur</t>
  </si>
  <si>
    <t>Department of Computer Science Engineering(Artificial Intelligence and Machine Learning- Data Science)</t>
  </si>
  <si>
    <t>Details of Workload Distributed to Available Faculties in Hours</t>
  </si>
  <si>
    <t>Faculty</t>
  </si>
  <si>
    <t>Btech (AIML)</t>
  </si>
  <si>
    <t>S. Y(DS)</t>
  </si>
  <si>
    <t>S. Y(AIML A)</t>
  </si>
  <si>
    <t>S. Y(AIML B)</t>
  </si>
  <si>
    <t>FY Btech(AIML)</t>
  </si>
  <si>
    <t>T. Y(AIML A-AIMLB)</t>
  </si>
  <si>
    <t>S. Y(AIMLB)</t>
  </si>
  <si>
    <t>T. Y(DS)</t>
  </si>
  <si>
    <t>Machine Learning Lab</t>
  </si>
  <si>
    <t>Desing and Analysis of Algorithms</t>
  </si>
  <si>
    <t>Design and Analysis of Algorithms</t>
  </si>
  <si>
    <t>T. Y(AIML)</t>
  </si>
  <si>
    <t>TY and B.Tech.(Hons.)</t>
  </si>
  <si>
    <t>Blockchain Technology</t>
  </si>
  <si>
    <t>SYand B.Tech.(Hons.)</t>
  </si>
  <si>
    <t>Applied Cryptography</t>
  </si>
  <si>
    <t>Immersive Technology - ARVR</t>
  </si>
  <si>
    <t>MiniProject II</t>
  </si>
  <si>
    <t>S. Y(AIML A-AIMLB,DS)</t>
  </si>
  <si>
    <t>MDM-(Microprocessor and Microcontrollers)</t>
  </si>
  <si>
    <t>B.Tech(AIML)-B.Tech.(DS)</t>
  </si>
  <si>
    <t>Total UG and PG Workload Distributed (Hours)</t>
  </si>
  <si>
    <t>Associate Professor</t>
  </si>
  <si>
    <t>Database Management System (UAMPC0304)</t>
  </si>
  <si>
    <t>Database Management System Laboratory (UAMPC0332)</t>
  </si>
  <si>
    <t>Assistant Professor</t>
  </si>
  <si>
    <t>T. Y(AIML B )</t>
  </si>
  <si>
    <t>Machine Learning Laboratory  (UAMPC0531)</t>
  </si>
  <si>
    <t xml:space="preserve"> Mini Project-III (UAMIL571)                        </t>
  </si>
  <si>
    <t>Nikhil Bhosale</t>
  </si>
  <si>
    <t>SY(AIML)A</t>
  </si>
  <si>
    <t>SY A</t>
  </si>
  <si>
    <t xml:space="preserve">Sharvari Chavan </t>
  </si>
  <si>
    <t>Class</t>
  </si>
  <si>
    <t>Dr.Arvind S. Kamble</t>
  </si>
  <si>
    <t>Mr.Deepak Dattwadkar</t>
  </si>
  <si>
    <t>Sharvari Chavan</t>
  </si>
  <si>
    <t>Project Phase – I (UAMC0751)</t>
  </si>
  <si>
    <t>SY B</t>
  </si>
  <si>
    <t>Deep Learning -UAMPC0601</t>
  </si>
  <si>
    <t>Deep Learning Lab-UAMPC0631</t>
  </si>
  <si>
    <t xml:space="preserve">Natural Language Processing-UAMPC0602
</t>
  </si>
  <si>
    <t>Automata Theory-UAMPC0402</t>
  </si>
  <si>
    <t>Computer Networks-UAMPC0401</t>
  </si>
  <si>
    <t>Mini  Project-II-UAMIL0471</t>
  </si>
  <si>
    <t>S. Y(AIML C)</t>
  </si>
  <si>
    <t>Data Analytics &amp; Visualization Tools-UAMPC0432</t>
  </si>
  <si>
    <t>Object Oriented Programming -UAMPC0405</t>
  </si>
  <si>
    <t>Object Oriented Programming  Lab-UAMPC0431</t>
  </si>
  <si>
    <t>Data Structures-(UHSES0215)</t>
  </si>
  <si>
    <t>Data Structures Lab-(UHSES0224)</t>
  </si>
  <si>
    <t>Image Processing &amp; Computer Vision (UAMPC0603)</t>
  </si>
  <si>
    <t>Image Processing &amp; Computer Vision (UAMPC0632)</t>
  </si>
  <si>
    <t xml:space="preserve">Program Elective-II(UAMPC0611) </t>
  </si>
  <si>
    <t>Natural Language Processing-UAMPC0632</t>
  </si>
  <si>
    <t>Machine Learning -Deep Learning Lab-UDSPC0601</t>
  </si>
  <si>
    <t>MINI Project-IV-UAMIL0671</t>
  </si>
  <si>
    <t>MINI Project-IV-UDSIL0671</t>
  </si>
  <si>
    <t>Mini  Project-II-UDSIL0471</t>
  </si>
  <si>
    <t>AI &amp; DS Tools Laboratory-UAMVS0433</t>
  </si>
  <si>
    <t>UAMOE0621(OE)</t>
  </si>
  <si>
    <t>UAMOE0621</t>
  </si>
  <si>
    <t xml:space="preserve"> Project Phase – II (UAMC0851)</t>
  </si>
  <si>
    <t>2 Groups</t>
  </si>
  <si>
    <t xml:space="preserve">Nitin Magdum </t>
  </si>
  <si>
    <t xml:space="preserve">Rajesh  Kumar </t>
  </si>
  <si>
    <t xml:space="preserve">SY (AIML C)        </t>
  </si>
  <si>
    <t xml:space="preserve">Discrete Mathematics and Graph Theory (UAMPC0302)   </t>
  </si>
  <si>
    <t>SY(AIML)-B</t>
  </si>
  <si>
    <t>Principles of AIML-UAMEM0306</t>
  </si>
  <si>
    <t>Software System Tools( UAMPC0333)</t>
  </si>
  <si>
    <t>Software System Tools (UAMPC0333)</t>
  </si>
  <si>
    <t>Exploratory Data Analytics  (UAMPC0503)</t>
  </si>
  <si>
    <t>Exploratory Data Analytics Laboratory  (UAMAV0533)</t>
  </si>
  <si>
    <t xml:space="preserve">TY A(MP) A4       </t>
  </si>
  <si>
    <t>SY A(MP) (A1, A2)</t>
  </si>
  <si>
    <t>Dr. Arvind Kamble</t>
  </si>
  <si>
    <t xml:space="preserve"> </t>
  </si>
  <si>
    <t>3 Groups</t>
  </si>
  <si>
    <t>Academic Year 2026-27, Odd Semester</t>
  </si>
  <si>
    <t>Academic Year 2026-27,  Even Semester</t>
  </si>
  <si>
    <t xml:space="preserve"> Professor/ HOD</t>
  </si>
  <si>
    <t>B.Tech.Final Year(AIML-A)</t>
  </si>
  <si>
    <t>Generative and Agentic AI (UAMPC0702)</t>
  </si>
  <si>
    <t>BE project Project Phase – I (UAMPC0751)</t>
  </si>
  <si>
    <t>Generative and Agentic AI LAB (UAMPC0702)</t>
  </si>
  <si>
    <t xml:space="preserve"> Project Phase – I (UAMPC0751)</t>
  </si>
  <si>
    <t>TY(AIML)-B</t>
  </si>
  <si>
    <t>Machine Learning Laboratory(UAMPC0531)</t>
  </si>
  <si>
    <t>Cyber and Blockchain Security (UAMPC0701)</t>
  </si>
  <si>
    <t>B.Tech.Final Year(AIML-B)</t>
  </si>
  <si>
    <t>ML DevOps (UAMPC0703)</t>
  </si>
  <si>
    <t>ML DevOps Lab (UAMPC0732)</t>
  </si>
  <si>
    <t>B.Tech.Final Year(DS )</t>
  </si>
  <si>
    <t>B.Tech.Final Year(DS)</t>
  </si>
  <si>
    <t>Machine Learning-OPS (UDSPC0703)</t>
  </si>
  <si>
    <t>Machine Learning-OPS Lab (UDSPC0732)</t>
  </si>
  <si>
    <t>Advanced Data Structures(UAMPC0303)</t>
  </si>
  <si>
    <t xml:space="preserve"> Embedded Systems (UAMMM0543)</t>
  </si>
  <si>
    <t xml:space="preserve">TY A(MP)A3- A4       </t>
  </si>
  <si>
    <t xml:space="preserve"> Mini Project -III(UAMIL571)</t>
  </si>
  <si>
    <t xml:space="preserve">TY A(MP) A1- A2       </t>
  </si>
  <si>
    <t>Project Phase – I (UAMPC0751)</t>
  </si>
  <si>
    <t>SY (AIML)-A-B-C- MDM</t>
  </si>
  <si>
    <t>TY (AIML)-A-B-C- MDM</t>
  </si>
  <si>
    <t xml:space="preserve">TY (AIML)-A,B,C-PE-1 </t>
  </si>
  <si>
    <t xml:space="preserve">Program Elective-I-UI/UX(UAMPC0511) </t>
  </si>
  <si>
    <t xml:space="preserve"> MDM-1-Digital Electronics(UAMMM0343)</t>
  </si>
  <si>
    <t xml:space="preserve">Program Elective-I-Intelligent Robot(UAMPC0512) </t>
  </si>
  <si>
    <t xml:space="preserve">Program Elective-I-SAN(UAMPC0513) </t>
  </si>
  <si>
    <t xml:space="preserve"> MDM-1- Basics of Biomedical Engineering (MM-I)(UAMMM0343)</t>
  </si>
  <si>
    <t>Program Elective – III-Time Series Analysis(UAMPE0712)</t>
  </si>
  <si>
    <t>SY (AIML B)</t>
  </si>
  <si>
    <t>SY A(MP) (A3, A4)</t>
  </si>
  <si>
    <t>SY B(MP) (B1, B2)</t>
  </si>
  <si>
    <t xml:space="preserve">TY(AIML)-MDM- Finance </t>
  </si>
  <si>
    <t>MDM-III- Time series Anlaysis (UAMMM0341)</t>
  </si>
  <si>
    <t>SY B(MP) (B3, B4)</t>
  </si>
  <si>
    <t>Advanced Java Programming Laboratory(UAMPC0532)</t>
  </si>
  <si>
    <t>Object Oriented Pogrmmaing(UAMPC0532)</t>
  </si>
  <si>
    <t>T. Y(AIML C)</t>
  </si>
  <si>
    <t>SY C(MP) (C1)</t>
  </si>
  <si>
    <t xml:space="preserve">Ms.Vajreshwari </t>
  </si>
  <si>
    <t>Program Elective – III-Data Story Telling(UAMPE0711)</t>
  </si>
  <si>
    <t>TY B(MP) B1</t>
  </si>
  <si>
    <t>Mr. Shubham Sontale</t>
  </si>
  <si>
    <t>Mr. Shashank Gurjar</t>
  </si>
  <si>
    <t>SY(AIML)C</t>
  </si>
  <si>
    <t>FINAL YEAR (AIML)-A,B-DS MDM-V</t>
  </si>
  <si>
    <t xml:space="preserve"> Embedded Systems (UAMMM0743)</t>
  </si>
  <si>
    <t>TY B(MP) B2,B3</t>
  </si>
  <si>
    <t>Ms. Sayali Mane</t>
  </si>
  <si>
    <t>Mr. Sujay Lande</t>
  </si>
  <si>
    <t>Ms. Vrushali Prabhu</t>
  </si>
  <si>
    <t>TY B(MP) B4</t>
  </si>
  <si>
    <t xml:space="preserve"> MDM-3- Soft Computing (MM-I)(UAMMM0541)</t>
  </si>
  <si>
    <t>TY (AIML)-A-B-C- MDM-Biomedical</t>
  </si>
  <si>
    <t>Generative and Agentic AI (UDSPC0702)</t>
  </si>
  <si>
    <t>Generative and Agentic AI LAB (UDSPC0702)</t>
  </si>
  <si>
    <t>TY(AIML)-C</t>
  </si>
  <si>
    <t>SY C(MP) (C2,C3,C4)</t>
  </si>
  <si>
    <t>TY C(MP) C3,C4</t>
  </si>
  <si>
    <t>TY C(MP) C1,C2</t>
  </si>
  <si>
    <t>Kindly submit Duly Signed Hard Copies of Workload Calculation and Workload Distribution in prescribed formats to the Dean Academic's Office by Tuesday, 10th June, 2026. Also send Soft Copies of the same to thorvat.akshay@kitcoek.in.</t>
  </si>
  <si>
    <t>Program Elective – III-Big Data Analysis(UAMPE0713)</t>
  </si>
  <si>
    <t>B.Tech.Final Year(AIML-DS)-MDM FINANANCE</t>
  </si>
  <si>
    <t>Deep Learning for Finance(UAMPC0742)</t>
  </si>
  <si>
    <t xml:space="preserve"> Mini Project -III(UAMIL671)</t>
  </si>
  <si>
    <t>PE-IV -Ethics in AI (PE-IV)/Introduction to Quantum Computing (PE-IV)</t>
  </si>
  <si>
    <t>PE-IV -Edge and Fog Computing (PE-V)/ AI in Healthcare (PE-V)</t>
  </si>
  <si>
    <t xml:space="preserve">  </t>
  </si>
</sst>
</file>

<file path=xl/styles.xml><?xml version="1.0" encoding="utf-8"?>
<styleSheet xmlns="http://schemas.openxmlformats.org/spreadsheetml/2006/main">
  <fonts count="24">
    <font>
      <sz val="11"/>
      <color theme="1"/>
      <name val="Calibri"/>
      <family val="2"/>
      <scheme val="minor"/>
    </font>
    <font>
      <sz val="14"/>
      <color theme="1"/>
      <name val="Times New Roman"/>
      <family val="1"/>
    </font>
    <font>
      <sz val="12"/>
      <color theme="1"/>
      <name val="Calibri"/>
      <family val="2"/>
      <scheme val="minor"/>
    </font>
    <font>
      <sz val="14"/>
      <color theme="1"/>
      <name val="Calibri"/>
      <family val="2"/>
      <scheme val="minor"/>
    </font>
    <font>
      <sz val="15"/>
      <color theme="1"/>
      <name val="Times New Roman"/>
      <family val="1"/>
    </font>
    <font>
      <sz val="11"/>
      <name val="Calibri"/>
      <family val="2"/>
    </font>
    <font>
      <b/>
      <sz val="11"/>
      <color theme="1"/>
      <name val="Times New Roman"/>
      <family val="1"/>
    </font>
    <font>
      <sz val="11"/>
      <color theme="1"/>
      <name val="Times New Roman"/>
      <family val="1"/>
    </font>
    <font>
      <sz val="14"/>
      <color theme="1"/>
      <name val="Calibri"/>
      <family val="2"/>
    </font>
    <font>
      <sz val="12"/>
      <color theme="1"/>
      <name val="Calibri"/>
      <family val="2"/>
    </font>
    <font>
      <sz val="11"/>
      <color theme="1"/>
      <name val="Calibri"/>
      <family val="2"/>
    </font>
    <font>
      <b/>
      <sz val="14"/>
      <color theme="1"/>
      <name val="Calibri"/>
      <family val="2"/>
    </font>
    <font>
      <b/>
      <sz val="16"/>
      <color theme="1"/>
      <name val="Calibri"/>
      <family val="2"/>
    </font>
    <font>
      <b/>
      <sz val="12"/>
      <color theme="1"/>
      <name val="Calibri"/>
      <family val="2"/>
      <scheme val="minor"/>
    </font>
    <font>
      <sz val="12"/>
      <name val="Calibri"/>
      <family val="2"/>
      <scheme val="minor"/>
    </font>
    <font>
      <b/>
      <sz val="13"/>
      <color theme="1"/>
      <name val="Calibri"/>
      <family val="2"/>
    </font>
    <font>
      <b/>
      <sz val="11"/>
      <name val="Calibri"/>
      <family val="2"/>
    </font>
    <font>
      <sz val="12"/>
      <color theme="1"/>
      <name val="Calibri"/>
      <family val="2"/>
    </font>
    <font>
      <b/>
      <sz val="12"/>
      <name val="Calibri"/>
      <family val="2"/>
      <scheme val="minor"/>
    </font>
    <font>
      <sz val="12"/>
      <name val="Calibri"/>
      <family val="2"/>
    </font>
    <font>
      <b/>
      <sz val="14"/>
      <color theme="1"/>
      <name val="Calibri"/>
      <family val="2"/>
    </font>
    <font>
      <sz val="14"/>
      <color theme="1"/>
      <name val="Calibri"/>
      <family val="2"/>
    </font>
    <font>
      <sz val="14"/>
      <name val="Times New Roman"/>
      <family val="1"/>
    </font>
    <font>
      <sz val="8"/>
      <name val="Calibri"/>
      <family val="2"/>
      <scheme val="minor"/>
    </font>
  </fonts>
  <fills count="10">
    <fill>
      <patternFill patternType="none"/>
    </fill>
    <fill>
      <patternFill patternType="gray125"/>
    </fill>
    <fill>
      <patternFill patternType="solid">
        <fgColor rgb="FFDDD9C3"/>
        <bgColor rgb="FFDDD9C3"/>
      </patternFill>
    </fill>
    <fill>
      <patternFill patternType="solid">
        <fgColor theme="0"/>
        <bgColor indexed="64"/>
      </patternFill>
    </fill>
    <fill>
      <patternFill patternType="solid">
        <fgColor rgb="FFFFFFFF"/>
        <bgColor rgb="FFFFFFFF"/>
      </patternFill>
    </fill>
    <fill>
      <patternFill patternType="solid">
        <fgColor rgb="FFDDD9C4"/>
        <bgColor rgb="FFDDD9C4"/>
      </patternFill>
    </fill>
    <fill>
      <patternFill patternType="solid">
        <fgColor theme="0"/>
        <bgColor rgb="FFFFFFFF"/>
      </patternFill>
    </fill>
    <fill>
      <patternFill patternType="solid">
        <fgColor rgb="FFFFFF00"/>
        <bgColor indexed="64"/>
      </patternFill>
    </fill>
    <fill>
      <patternFill patternType="solid">
        <fgColor rgb="FFFFFF00"/>
        <bgColor rgb="FFFFFFFF"/>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rgb="FF000000"/>
      </left>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style="thin">
        <color rgb="FF000000"/>
      </top>
      <bottom style="thin">
        <color indexed="64"/>
      </bottom>
      <diagonal/>
    </border>
    <border>
      <left/>
      <right/>
      <top style="thin">
        <color rgb="FF000000"/>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9">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xf>
    <xf numFmtId="0" fontId="3" fillId="0" borderId="0" xfId="0" applyFont="1"/>
    <xf numFmtId="0" fontId="4" fillId="0" borderId="0" xfId="0" applyFont="1"/>
    <xf numFmtId="0" fontId="7" fillId="0" borderId="0" xfId="0" applyFont="1"/>
    <xf numFmtId="0" fontId="6" fillId="0" borderId="10" xfId="0" applyFont="1" applyBorder="1" applyAlignment="1">
      <alignment vertical="center"/>
    </xf>
    <xf numFmtId="0" fontId="7"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6" fillId="0" borderId="0" xfId="0" applyFont="1"/>
    <xf numFmtId="0" fontId="6" fillId="0" borderId="0" xfId="0" applyFont="1" applyAlignment="1">
      <alignment horizontal="center"/>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11" fillId="0" borderId="1" xfId="0" applyFont="1" applyBorder="1" applyAlignment="1">
      <alignment horizontal="center" vertical="top"/>
    </xf>
    <xf numFmtId="0" fontId="11" fillId="0" borderId="1" xfId="0" applyFont="1" applyBorder="1" applyAlignment="1">
      <alignment horizontal="center" vertical="top" wrapText="1"/>
    </xf>
    <xf numFmtId="0" fontId="10" fillId="3" borderId="13" xfId="0" applyFont="1" applyFill="1" applyBorder="1"/>
    <xf numFmtId="0" fontId="10" fillId="3" borderId="19" xfId="0" applyFont="1" applyFill="1" applyBorder="1" applyAlignment="1">
      <alignment wrapText="1"/>
    </xf>
    <xf numFmtId="0" fontId="12" fillId="3" borderId="19" xfId="0" applyFont="1" applyFill="1" applyBorder="1" applyAlignment="1">
      <alignment horizontal="center"/>
    </xf>
    <xf numFmtId="0" fontId="11" fillId="3" borderId="13" xfId="0" applyFont="1" applyFill="1" applyBorder="1"/>
    <xf numFmtId="0" fontId="10" fillId="3" borderId="0" xfId="0" applyFont="1" applyFill="1"/>
    <xf numFmtId="0" fontId="10" fillId="3" borderId="0" xfId="0" applyFont="1" applyFill="1" applyAlignment="1">
      <alignment wrapText="1"/>
    </xf>
    <xf numFmtId="0" fontId="11" fillId="3" borderId="0" xfId="0" applyFont="1" applyFill="1" applyAlignment="1">
      <alignment wrapText="1"/>
    </xf>
    <xf numFmtId="0" fontId="1" fillId="3" borderId="0" xfId="0" applyFont="1" applyFill="1"/>
    <xf numFmtId="0" fontId="1" fillId="3" borderId="0" xfId="0" applyFont="1" applyFill="1" applyAlignment="1">
      <alignment horizontal="left"/>
    </xf>
    <xf numFmtId="0" fontId="1" fillId="3" borderId="0" xfId="0" applyFont="1" applyFill="1" applyAlignment="1">
      <alignment horizontal="center"/>
    </xf>
    <xf numFmtId="0" fontId="1" fillId="3" borderId="0" xfId="0" applyFont="1" applyFill="1" applyAlignment="1">
      <alignment horizontal="center" vertical="center"/>
    </xf>
    <xf numFmtId="0" fontId="1" fillId="0" borderId="0" xfId="0" applyFont="1" applyAlignment="1">
      <alignment horizontal="center" vertical="center"/>
    </xf>
    <xf numFmtId="0" fontId="2" fillId="3" borderId="10" xfId="0" applyFont="1" applyFill="1" applyBorder="1" applyAlignment="1">
      <alignment vertical="center"/>
    </xf>
    <xf numFmtId="0" fontId="2" fillId="3" borderId="10" xfId="0" applyFont="1" applyFill="1" applyBorder="1" applyAlignment="1">
      <alignment vertical="center" wrapText="1"/>
    </xf>
    <xf numFmtId="0" fontId="2" fillId="3" borderId="10" xfId="0" applyFont="1" applyFill="1" applyBorder="1" applyAlignment="1">
      <alignment horizontal="center" vertical="center"/>
    </xf>
    <xf numFmtId="0" fontId="2" fillId="3" borderId="10" xfId="0" applyFont="1" applyFill="1" applyBorder="1" applyAlignment="1">
      <alignment horizontal="left" vertical="center" wrapText="1"/>
    </xf>
    <xf numFmtId="0" fontId="2" fillId="3" borderId="10" xfId="0" applyFont="1" applyFill="1" applyBorder="1"/>
    <xf numFmtId="0" fontId="2" fillId="3" borderId="8" xfId="0" applyFont="1" applyFill="1" applyBorder="1" applyAlignment="1">
      <alignment vertical="center"/>
    </xf>
    <xf numFmtId="0" fontId="2" fillId="3" borderId="11" xfId="0" applyFont="1" applyFill="1" applyBorder="1" applyAlignment="1">
      <alignment vertical="center"/>
    </xf>
    <xf numFmtId="0" fontId="2" fillId="3" borderId="16" xfId="0" applyFont="1" applyFill="1" applyBorder="1" applyAlignment="1">
      <alignment vertical="center"/>
    </xf>
    <xf numFmtId="0" fontId="2" fillId="3" borderId="11" xfId="0" applyFont="1" applyFill="1" applyBorder="1" applyAlignment="1">
      <alignment horizontal="center" vertical="center"/>
    </xf>
    <xf numFmtId="0" fontId="2" fillId="3" borderId="10" xfId="0" applyFont="1" applyFill="1" applyBorder="1" applyAlignment="1">
      <alignment horizontal="center"/>
    </xf>
    <xf numFmtId="0" fontId="14" fillId="3" borderId="9" xfId="0" applyFont="1" applyFill="1" applyBorder="1" applyAlignment="1">
      <alignment vertical="center"/>
    </xf>
    <xf numFmtId="0" fontId="14" fillId="3" borderId="10" xfId="0" applyFont="1" applyFill="1" applyBorder="1"/>
    <xf numFmtId="0" fontId="14" fillId="3" borderId="10" xfId="0" applyFont="1" applyFill="1" applyBorder="1" applyAlignment="1">
      <alignment horizontal="center"/>
    </xf>
    <xf numFmtId="0" fontId="14" fillId="3" borderId="18" xfId="0" applyFont="1" applyFill="1" applyBorder="1" applyAlignment="1">
      <alignment vertical="center"/>
    </xf>
    <xf numFmtId="0" fontId="14" fillId="3" borderId="11" xfId="0" applyFont="1" applyFill="1" applyBorder="1" applyAlignment="1">
      <alignment horizontal="center"/>
    </xf>
    <xf numFmtId="0" fontId="2" fillId="3" borderId="10" xfId="0" applyFont="1" applyFill="1" applyBorder="1" applyAlignment="1">
      <alignment horizontal="left"/>
    </xf>
    <xf numFmtId="0" fontId="2" fillId="3" borderId="1" xfId="0" applyFont="1" applyFill="1" applyBorder="1" applyAlignment="1">
      <alignment vertical="center"/>
    </xf>
    <xf numFmtId="0" fontId="2" fillId="3" borderId="1" xfId="0" applyFont="1" applyFill="1" applyBorder="1"/>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2" fillId="3" borderId="13" xfId="0" applyFont="1" applyFill="1" applyBorder="1" applyAlignment="1">
      <alignment vertical="center"/>
    </xf>
    <xf numFmtId="0" fontId="2" fillId="3" borderId="13" xfId="0" applyFont="1" applyFill="1" applyBorder="1" applyAlignment="1">
      <alignment horizontal="center" vertical="center"/>
    </xf>
    <xf numFmtId="0" fontId="2" fillId="3" borderId="19" xfId="0" applyFont="1" applyFill="1" applyBorder="1" applyAlignment="1">
      <alignment vertical="center"/>
    </xf>
    <xf numFmtId="0" fontId="2" fillId="3" borderId="13" xfId="0" applyFont="1" applyFill="1" applyBorder="1" applyAlignment="1">
      <alignment vertical="center" wrapText="1"/>
    </xf>
    <xf numFmtId="0" fontId="2" fillId="3" borderId="13" xfId="0" applyFont="1" applyFill="1" applyBorder="1" applyAlignment="1">
      <alignment horizontal="center"/>
    </xf>
    <xf numFmtId="0" fontId="2" fillId="3" borderId="20" xfId="0" applyFont="1" applyFill="1" applyBorder="1" applyAlignment="1">
      <alignment horizontal="center"/>
    </xf>
    <xf numFmtId="0" fontId="2" fillId="3" borderId="9" xfId="0" applyFont="1" applyFill="1" applyBorder="1" applyAlignment="1">
      <alignment vertical="center"/>
    </xf>
    <xf numFmtId="0" fontId="2" fillId="3" borderId="7" xfId="0" applyFont="1" applyFill="1" applyBorder="1" applyAlignment="1">
      <alignment horizontal="center"/>
    </xf>
    <xf numFmtId="0" fontId="2" fillId="3" borderId="18" xfId="0" applyFont="1" applyFill="1" applyBorder="1" applyAlignment="1">
      <alignment vertical="center"/>
    </xf>
    <xf numFmtId="0" fontId="2" fillId="3" borderId="11" xfId="0" applyFont="1" applyFill="1" applyBorder="1" applyAlignment="1">
      <alignment vertical="center" wrapText="1"/>
    </xf>
    <xf numFmtId="0" fontId="2" fillId="3" borderId="11" xfId="0" applyFont="1" applyFill="1" applyBorder="1" applyAlignment="1">
      <alignment horizontal="center"/>
    </xf>
    <xf numFmtId="0" fontId="2" fillId="3" borderId="14" xfId="0" applyFont="1" applyFill="1" applyBorder="1" applyAlignment="1">
      <alignment horizontal="center"/>
    </xf>
    <xf numFmtId="0" fontId="2" fillId="3" borderId="5" xfId="0" applyFont="1" applyFill="1" applyBorder="1" applyAlignment="1">
      <alignment horizontal="center"/>
    </xf>
    <xf numFmtId="0" fontId="2" fillId="3" borderId="5" xfId="0" applyFont="1" applyFill="1" applyBorder="1" applyAlignment="1">
      <alignment horizontal="center" vertical="center"/>
    </xf>
    <xf numFmtId="0" fontId="2" fillId="3" borderId="1" xfId="0" applyFont="1" applyFill="1" applyBorder="1" applyAlignment="1">
      <alignment horizontal="left"/>
    </xf>
    <xf numFmtId="0" fontId="2" fillId="3" borderId="13" xfId="0" applyFont="1" applyFill="1" applyBorder="1"/>
    <xf numFmtId="0" fontId="2" fillId="3" borderId="11" xfId="0" applyFont="1" applyFill="1" applyBorder="1"/>
    <xf numFmtId="0" fontId="2" fillId="3" borderId="1" xfId="0" applyFont="1" applyFill="1" applyBorder="1" applyAlignment="1">
      <alignment horizontal="left" vertical="center" wrapText="1"/>
    </xf>
    <xf numFmtId="0" fontId="2" fillId="3" borderId="0" xfId="0" applyFont="1" applyFill="1" applyAlignment="1">
      <alignment vertical="center"/>
    </xf>
    <xf numFmtId="0" fontId="2" fillId="3" borderId="0" xfId="0" applyFont="1" applyFill="1"/>
    <xf numFmtId="0" fontId="2" fillId="3" borderId="0" xfId="0" applyFont="1" applyFill="1" applyAlignment="1">
      <alignment horizontal="center"/>
    </xf>
    <xf numFmtId="0" fontId="2" fillId="3" borderId="10" xfId="0" applyFont="1" applyFill="1" applyBorder="1" applyAlignment="1">
      <alignment wrapText="1"/>
    </xf>
    <xf numFmtId="0" fontId="14" fillId="3" borderId="1" xfId="0" applyFont="1" applyFill="1" applyBorder="1"/>
    <xf numFmtId="0" fontId="13" fillId="0" borderId="10" xfId="0" applyFont="1" applyBorder="1" applyAlignment="1">
      <alignment horizontal="center" vertical="top"/>
    </xf>
    <xf numFmtId="0" fontId="14" fillId="3" borderId="0" xfId="0" applyFont="1" applyFill="1"/>
    <xf numFmtId="0" fontId="2" fillId="0" borderId="10" xfId="0" applyFont="1" applyBorder="1"/>
    <xf numFmtId="0" fontId="13" fillId="0" borderId="12" xfId="0" applyFont="1" applyBorder="1" applyAlignment="1">
      <alignment horizontal="center" vertical="center"/>
    </xf>
    <xf numFmtId="0" fontId="10" fillId="3" borderId="0" xfId="0" applyFont="1" applyFill="1" applyAlignment="1">
      <alignment horizontal="center" vertical="center"/>
    </xf>
    <xf numFmtId="0" fontId="2" fillId="3" borderId="23" xfId="0" applyFont="1" applyFill="1" applyBorder="1" applyAlignment="1">
      <alignment vertical="center"/>
    </xf>
    <xf numFmtId="0" fontId="2" fillId="3" borderId="23" xfId="0" applyFont="1" applyFill="1" applyBorder="1"/>
    <xf numFmtId="0" fontId="2" fillId="3" borderId="23" xfId="0" applyFont="1" applyFill="1" applyBorder="1" applyAlignment="1">
      <alignment horizontal="center"/>
    </xf>
    <xf numFmtId="0" fontId="2" fillId="3" borderId="29" xfId="0" applyFont="1" applyFill="1" applyBorder="1" applyAlignment="1">
      <alignment vertical="center"/>
    </xf>
    <xf numFmtId="0" fontId="2" fillId="3" borderId="30" xfId="0" applyFont="1" applyFill="1" applyBorder="1" applyAlignment="1">
      <alignment vertical="center"/>
    </xf>
    <xf numFmtId="0" fontId="2" fillId="3" borderId="29" xfId="0" applyFont="1" applyFill="1" applyBorder="1" applyAlignment="1">
      <alignment horizontal="center" vertical="center"/>
    </xf>
    <xf numFmtId="0" fontId="10" fillId="3" borderId="0" xfId="0" applyFont="1" applyFill="1" applyAlignment="1">
      <alignment horizontal="center" vertical="center" wrapText="1"/>
    </xf>
    <xf numFmtId="0" fontId="14" fillId="3" borderId="11" xfId="0" applyFont="1" applyFill="1" applyBorder="1" applyAlignment="1">
      <alignment wrapText="1"/>
    </xf>
    <xf numFmtId="0" fontId="17" fillId="3" borderId="1" xfId="0" applyFont="1" applyFill="1" applyBorder="1" applyAlignment="1">
      <alignment horizontal="center" vertical="center" wrapText="1"/>
    </xf>
    <xf numFmtId="0" fontId="17" fillId="3" borderId="1" xfId="0" applyFont="1" applyFill="1" applyBorder="1" applyAlignment="1">
      <alignment wrapText="1"/>
    </xf>
    <xf numFmtId="0" fontId="9" fillId="3" borderId="1" xfId="0" applyFont="1" applyFill="1" applyBorder="1" applyAlignment="1">
      <alignment horizontal="center" vertical="center" wrapText="1"/>
    </xf>
    <xf numFmtId="0" fontId="17" fillId="3" borderId="1" xfId="0" applyFont="1" applyFill="1" applyBorder="1" applyAlignment="1">
      <alignment horizontal="center" vertical="center"/>
    </xf>
    <xf numFmtId="0" fontId="9" fillId="4"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3" borderId="1" xfId="0" applyFont="1" applyFill="1" applyBorder="1"/>
    <xf numFmtId="0" fontId="9" fillId="4" borderId="33" xfId="0" applyFont="1" applyFill="1" applyBorder="1" applyAlignment="1">
      <alignment horizontal="center" vertical="center" wrapText="1"/>
    </xf>
    <xf numFmtId="0" fontId="9" fillId="3" borderId="1" xfId="0" applyFont="1" applyFill="1" applyBorder="1" applyAlignment="1">
      <alignment wrapText="1"/>
    </xf>
    <xf numFmtId="0" fontId="5" fillId="0" borderId="0" xfId="0" applyFont="1"/>
    <xf numFmtId="0" fontId="16" fillId="0" borderId="0" xfId="0" applyFont="1"/>
    <xf numFmtId="0" fontId="9" fillId="4" borderId="0" xfId="0" applyFont="1" applyFill="1" applyAlignment="1">
      <alignment horizontal="center" vertical="center" wrapText="1"/>
    </xf>
    <xf numFmtId="0" fontId="19" fillId="4"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top" wrapText="1"/>
    </xf>
    <xf numFmtId="0" fontId="11" fillId="3" borderId="1" xfId="0" applyFont="1" applyFill="1" applyBorder="1" applyAlignment="1">
      <alignment horizontal="center" vertical="top"/>
    </xf>
    <xf numFmtId="0" fontId="9" fillId="3"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17" fillId="3" borderId="1" xfId="0" applyFont="1" applyFill="1" applyBorder="1" applyAlignment="1">
      <alignment vertical="center" wrapText="1"/>
    </xf>
    <xf numFmtId="0" fontId="17" fillId="3" borderId="0" xfId="0" applyFont="1" applyFill="1" applyAlignment="1">
      <alignment wrapText="1"/>
    </xf>
    <xf numFmtId="0" fontId="19" fillId="6" borderId="1" xfId="0" applyFont="1" applyFill="1" applyBorder="1" applyAlignment="1">
      <alignment horizontal="center" vertical="center" wrapText="1"/>
    </xf>
    <xf numFmtId="0" fontId="19" fillId="3" borderId="1" xfId="0" applyFont="1" applyFill="1" applyBorder="1" applyAlignment="1">
      <alignment wrapText="1"/>
    </xf>
    <xf numFmtId="0" fontId="9" fillId="3" borderId="1" xfId="0" applyFont="1" applyFill="1" applyBorder="1" applyAlignment="1">
      <alignment horizontal="center"/>
    </xf>
    <xf numFmtId="0" fontId="9" fillId="6" borderId="10" xfId="0" applyFont="1" applyFill="1" applyBorder="1" applyAlignment="1">
      <alignment horizontal="center" vertical="center" wrapText="1"/>
    </xf>
    <xf numFmtId="0" fontId="9" fillId="6" borderId="0" xfId="0" applyFont="1" applyFill="1" applyAlignment="1">
      <alignment horizontal="center" vertical="center" wrapText="1"/>
    </xf>
    <xf numFmtId="0" fontId="17" fillId="6" borderId="0" xfId="0" applyFont="1" applyFill="1" applyAlignment="1">
      <alignment horizontal="center" vertical="center" wrapText="1"/>
    </xf>
    <xf numFmtId="0" fontId="17" fillId="7" borderId="1" xfId="0" applyFont="1" applyFill="1" applyBorder="1" applyAlignment="1">
      <alignment wrapText="1"/>
    </xf>
    <xf numFmtId="0" fontId="9" fillId="8"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3" borderId="1" xfId="0" applyFont="1" applyFill="1" applyBorder="1" applyAlignment="1">
      <alignment vertical="center" wrapText="1"/>
    </xf>
    <xf numFmtId="0" fontId="8" fillId="0" borderId="0" xfId="0" applyFont="1" applyAlignment="1">
      <alignment horizontal="center" vertical="center" wrapText="1"/>
    </xf>
    <xf numFmtId="0" fontId="9" fillId="3" borderId="0" xfId="0" applyFont="1" applyFill="1" applyAlignment="1">
      <alignment horizontal="center" vertical="center"/>
    </xf>
    <xf numFmtId="0" fontId="2" fillId="3" borderId="0" xfId="0" applyFont="1" applyFill="1" applyAlignment="1">
      <alignment horizontal="center" vertical="center"/>
    </xf>
    <xf numFmtId="0" fontId="9" fillId="0" borderId="0" xfId="0" applyFont="1" applyAlignment="1">
      <alignment horizontal="center" vertical="center" wrapText="1"/>
    </xf>
    <xf numFmtId="0" fontId="15" fillId="0" borderId="0" xfId="0" applyFont="1" applyAlignment="1">
      <alignment horizontal="center" vertical="center" wrapText="1"/>
    </xf>
    <xf numFmtId="0" fontId="9" fillId="9" borderId="1" xfId="0" applyFont="1" applyFill="1" applyBorder="1" applyAlignment="1">
      <alignment horizontal="center" vertical="center"/>
    </xf>
    <xf numFmtId="0" fontId="9" fillId="9" borderId="1" xfId="0" applyFont="1" applyFill="1" applyBorder="1" applyAlignment="1">
      <alignment horizontal="left" vertical="top" wrapText="1"/>
    </xf>
    <xf numFmtId="0" fontId="9" fillId="9" borderId="1" xfId="0" applyFont="1" applyFill="1" applyBorder="1" applyAlignment="1">
      <alignment horizontal="center" vertical="center" wrapText="1"/>
    </xf>
    <xf numFmtId="0" fontId="9" fillId="3" borderId="1" xfId="0" applyFont="1" applyFill="1" applyBorder="1" applyAlignment="1">
      <alignment vertical="top" wrapText="1"/>
    </xf>
    <xf numFmtId="0" fontId="17" fillId="3" borderId="1" xfId="0" applyFont="1" applyFill="1" applyBorder="1" applyAlignment="1">
      <alignment vertical="top" wrapText="1"/>
    </xf>
    <xf numFmtId="0" fontId="9" fillId="7" borderId="1" xfId="0" applyFont="1" applyFill="1" applyBorder="1" applyAlignment="1">
      <alignment horizontal="center" vertical="center"/>
    </xf>
    <xf numFmtId="0" fontId="2" fillId="7" borderId="1" xfId="0" applyFont="1" applyFill="1" applyBorder="1"/>
    <xf numFmtId="0" fontId="2" fillId="7" borderId="1" xfId="0" applyFont="1" applyFill="1" applyBorder="1" applyAlignment="1">
      <alignment horizontal="center" vertical="center"/>
    </xf>
    <xf numFmtId="0" fontId="14" fillId="3" borderId="13" xfId="0" applyFont="1" applyFill="1" applyBorder="1"/>
    <xf numFmtId="0" fontId="19" fillId="3"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19" fillId="3" borderId="1" xfId="0" applyFont="1" applyFill="1" applyBorder="1" applyAlignment="1">
      <alignment vertical="center" wrapText="1"/>
    </xf>
    <xf numFmtId="0" fontId="22" fillId="3" borderId="1" xfId="0" applyFont="1" applyFill="1" applyBorder="1" applyAlignment="1">
      <alignment horizontal="center"/>
    </xf>
    <xf numFmtId="0" fontId="22" fillId="3" borderId="1" xfId="0" applyFont="1" applyFill="1" applyBorder="1" applyAlignment="1">
      <alignment horizontal="center" vertical="center"/>
    </xf>
    <xf numFmtId="0" fontId="19" fillId="7" borderId="1" xfId="0" applyFont="1" applyFill="1" applyBorder="1" applyAlignment="1">
      <alignment wrapText="1"/>
    </xf>
    <xf numFmtId="0" fontId="19" fillId="8"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4" fillId="7" borderId="1" xfId="0" applyFont="1" applyFill="1" applyBorder="1"/>
    <xf numFmtId="0" fontId="14" fillId="7" borderId="1" xfId="0" applyFont="1" applyFill="1" applyBorder="1" applyAlignment="1">
      <alignment horizontal="center" vertical="center"/>
    </xf>
    <xf numFmtId="0" fontId="2" fillId="3" borderId="6" xfId="0" applyFont="1" applyFill="1" applyBorder="1" applyAlignment="1">
      <alignment vertical="center"/>
    </xf>
    <xf numFmtId="0" fontId="2" fillId="3" borderId="6" xfId="0" applyFont="1" applyFill="1" applyBorder="1"/>
    <xf numFmtId="0" fontId="2" fillId="3" borderId="6" xfId="0" applyFont="1" applyFill="1" applyBorder="1" applyAlignment="1">
      <alignment horizontal="center" vertical="center"/>
    </xf>
    <xf numFmtId="0" fontId="9" fillId="3" borderId="0" xfId="0" applyFont="1" applyFill="1" applyAlignment="1">
      <alignment horizontal="center" vertical="center" wrapText="1"/>
    </xf>
    <xf numFmtId="0" fontId="17" fillId="3" borderId="5"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2" fillId="3" borderId="9" xfId="0" applyFont="1" applyFill="1" applyBorder="1" applyAlignment="1">
      <alignment horizontal="left"/>
    </xf>
    <xf numFmtId="0" fontId="8" fillId="0" borderId="1" xfId="0" applyFont="1" applyBorder="1" applyAlignment="1">
      <alignment horizontal="center" vertical="center" wrapText="1"/>
    </xf>
    <xf numFmtId="0" fontId="5" fillId="0" borderId="1" xfId="0" applyFont="1" applyBorder="1"/>
    <xf numFmtId="0" fontId="20" fillId="0" borderId="1" xfId="0" applyFont="1" applyBorder="1" applyAlignment="1">
      <alignment horizontal="center" vertical="center" wrapText="1"/>
    </xf>
    <xf numFmtId="0" fontId="15" fillId="3" borderId="1" xfId="0" applyFont="1" applyFill="1" applyBorder="1" applyAlignment="1">
      <alignment horizontal="center" vertical="center" wrapText="1"/>
    </xf>
    <xf numFmtId="0" fontId="16" fillId="3" borderId="1" xfId="0" applyFont="1" applyFill="1" applyBorder="1"/>
    <xf numFmtId="0" fontId="15" fillId="0" borderId="1" xfId="0" applyFont="1" applyBorder="1" applyAlignment="1">
      <alignment horizontal="center" vertical="center" wrapText="1"/>
    </xf>
    <xf numFmtId="0" fontId="16" fillId="0" borderId="1" xfId="0" applyFont="1" applyBorder="1"/>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3" borderId="1" xfId="0" applyFont="1" applyFill="1" applyBorder="1" applyAlignment="1">
      <alignment horizontal="center" vertical="center" wrapText="1"/>
    </xf>
    <xf numFmtId="0" fontId="5" fillId="3" borderId="1" xfId="0" applyFont="1" applyFill="1" applyBorder="1"/>
    <xf numFmtId="0" fontId="12" fillId="0" borderId="0" xfId="0" applyFont="1" applyAlignment="1">
      <alignment horizontal="center"/>
    </xf>
    <xf numFmtId="0" fontId="0" fillId="0" borderId="0" xfId="0"/>
    <xf numFmtId="0" fontId="12" fillId="0" borderId="6" xfId="0" applyFont="1" applyBorder="1" applyAlignment="1">
      <alignment horizontal="center"/>
    </xf>
    <xf numFmtId="0" fontId="5" fillId="0" borderId="6" xfId="0" applyFont="1" applyBorder="1"/>
    <xf numFmtId="0" fontId="11" fillId="5" borderId="14" xfId="0" applyFont="1" applyFill="1" applyBorder="1" applyAlignment="1">
      <alignment horizontal="center" wrapText="1"/>
    </xf>
    <xf numFmtId="0" fontId="5" fillId="0" borderId="16" xfId="0" applyFont="1" applyBorder="1"/>
    <xf numFmtId="0" fontId="5" fillId="0" borderId="18" xfId="0" applyFont="1" applyBorder="1"/>
    <xf numFmtId="0" fontId="21" fillId="0" borderId="1" xfId="0" applyFont="1" applyBorder="1" applyAlignment="1">
      <alignment horizontal="center" vertical="center" wrapText="1"/>
    </xf>
    <xf numFmtId="0" fontId="8" fillId="0" borderId="2" xfId="0" applyFont="1" applyBorder="1" applyAlignment="1">
      <alignment horizontal="center" vertical="center" wrapText="1"/>
    </xf>
    <xf numFmtId="0" fontId="5" fillId="0" borderId="3" xfId="0" applyFont="1" applyBorder="1"/>
    <xf numFmtId="0" fontId="11" fillId="3" borderId="0" xfId="0" applyFont="1" applyFill="1" applyAlignment="1">
      <alignment horizontal="center" wrapText="1"/>
    </xf>
    <xf numFmtId="0" fontId="11" fillId="3" borderId="0" xfId="0" applyFont="1" applyFill="1" applyAlignment="1">
      <alignment horizontal="center"/>
    </xf>
    <xf numFmtId="0" fontId="8" fillId="0" borderId="5" xfId="0" applyFont="1" applyBorder="1" applyAlignment="1">
      <alignment horizontal="center" vertical="center" wrapText="1"/>
    </xf>
    <xf numFmtId="0" fontId="5" fillId="0" borderId="5" xfId="0" applyFont="1" applyBorder="1"/>
    <xf numFmtId="0" fontId="11" fillId="3" borderId="20" xfId="0" applyFont="1" applyFill="1" applyBorder="1" applyAlignment="1">
      <alignment horizontal="right" wrapText="1"/>
    </xf>
    <xf numFmtId="0" fontId="11" fillId="3" borderId="6" xfId="0" applyFont="1" applyFill="1" applyBorder="1" applyAlignment="1">
      <alignment horizontal="right" wrapText="1"/>
    </xf>
    <xf numFmtId="0" fontId="11" fillId="3" borderId="19" xfId="0" applyFont="1" applyFill="1" applyBorder="1" applyAlignment="1">
      <alignment horizontal="right"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2" xfId="0" applyFont="1" applyBorder="1" applyAlignment="1">
      <alignment horizontal="center" vertical="center" wrapText="1"/>
    </xf>
    <xf numFmtId="0" fontId="11" fillId="3" borderId="7" xfId="0" applyFont="1" applyFill="1" applyBorder="1" applyAlignment="1">
      <alignment wrapText="1"/>
    </xf>
    <xf numFmtId="0" fontId="11" fillId="3" borderId="8" xfId="0" applyFont="1" applyFill="1" applyBorder="1" applyAlignment="1">
      <alignment wrapText="1"/>
    </xf>
    <xf numFmtId="0" fontId="11" fillId="3" borderId="9" xfId="0" applyFont="1" applyFill="1" applyBorder="1" applyAlignment="1">
      <alignment wrapText="1"/>
    </xf>
    <xf numFmtId="0" fontId="20" fillId="0" borderId="0" xfId="0" applyFont="1" applyAlignment="1">
      <alignment horizontal="center" vertical="center" wrapText="1"/>
    </xf>
    <xf numFmtId="0" fontId="13" fillId="3" borderId="3" xfId="0" applyFont="1" applyFill="1" applyBorder="1" applyAlignment="1">
      <alignment horizontal="center" vertical="center"/>
    </xf>
    <xf numFmtId="0" fontId="14" fillId="3" borderId="4" xfId="0" applyFont="1" applyFill="1" applyBorder="1"/>
    <xf numFmtId="0" fontId="14" fillId="3" borderId="2" xfId="0" applyFont="1" applyFill="1" applyBorder="1"/>
    <xf numFmtId="0" fontId="2" fillId="3" borderId="11" xfId="0" applyFont="1" applyFill="1" applyBorder="1" applyAlignment="1">
      <alignment horizontal="center" vertical="center"/>
    </xf>
    <xf numFmtId="0" fontId="14" fillId="3" borderId="12" xfId="0" applyFont="1" applyFill="1" applyBorder="1"/>
    <xf numFmtId="0" fontId="14" fillId="3" borderId="13" xfId="0" applyFont="1" applyFill="1" applyBorder="1"/>
    <xf numFmtId="0" fontId="2" fillId="3" borderId="11" xfId="0" applyFont="1" applyFill="1" applyBorder="1" applyAlignment="1">
      <alignment horizontal="left" vertical="center"/>
    </xf>
    <xf numFmtId="0" fontId="13" fillId="3" borderId="11" xfId="0" applyFont="1" applyFill="1" applyBorder="1" applyAlignment="1">
      <alignment horizontal="center" vertical="center"/>
    </xf>
    <xf numFmtId="0" fontId="13" fillId="0" borderId="0" xfId="0" applyFont="1" applyAlignment="1">
      <alignment horizontal="center"/>
    </xf>
    <xf numFmtId="0" fontId="13" fillId="0" borderId="6" xfId="0" applyFont="1" applyBorder="1" applyAlignment="1">
      <alignment horizontal="center"/>
    </xf>
    <xf numFmtId="0" fontId="13" fillId="2" borderId="7" xfId="0" applyFont="1" applyFill="1" applyBorder="1" applyAlignment="1">
      <alignment horizontal="center" vertical="center"/>
    </xf>
    <xf numFmtId="0" fontId="14" fillId="0" borderId="8" xfId="0" applyFont="1" applyBorder="1"/>
    <xf numFmtId="0" fontId="14" fillId="0" borderId="9" xfId="0" applyFont="1" applyBorder="1"/>
    <xf numFmtId="0" fontId="2" fillId="3" borderId="14" xfId="0" applyFont="1" applyFill="1" applyBorder="1" applyAlignment="1">
      <alignment horizontal="left" vertical="center"/>
    </xf>
    <xf numFmtId="0" fontId="14" fillId="3" borderId="15" xfId="0" applyFont="1" applyFill="1" applyBorder="1"/>
    <xf numFmtId="0" fontId="14" fillId="3" borderId="17" xfId="0" applyFont="1" applyFill="1" applyBorder="1"/>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left" vertical="center"/>
    </xf>
    <xf numFmtId="0" fontId="14" fillId="3" borderId="1" xfId="0" applyFont="1" applyFill="1" applyBorder="1"/>
    <xf numFmtId="0" fontId="13" fillId="3" borderId="1" xfId="0" applyFont="1" applyFill="1" applyBorder="1" applyAlignment="1">
      <alignment horizontal="center" vertical="center"/>
    </xf>
    <xf numFmtId="0" fontId="14" fillId="3" borderId="3" xfId="0" applyFont="1" applyFill="1" applyBorder="1"/>
    <xf numFmtId="0" fontId="13" fillId="3" borderId="1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5" xfId="0" applyFont="1" applyFill="1" applyBorder="1" applyAlignment="1">
      <alignment horizontal="left" vertical="center"/>
    </xf>
    <xf numFmtId="0" fontId="14" fillId="3" borderId="20" xfId="0" applyFont="1" applyFill="1" applyBorder="1"/>
    <xf numFmtId="0" fontId="18" fillId="3" borderId="11" xfId="0" applyFont="1" applyFill="1" applyBorder="1" applyAlignment="1">
      <alignment horizontal="center" vertical="center"/>
    </xf>
    <xf numFmtId="0" fontId="18" fillId="3" borderId="12" xfId="0" applyFont="1" applyFill="1" applyBorder="1" applyAlignment="1">
      <alignment horizontal="center" vertical="center"/>
    </xf>
    <xf numFmtId="0" fontId="18" fillId="3" borderId="32" xfId="0" applyFont="1" applyFill="1" applyBorder="1" applyAlignment="1">
      <alignment horizontal="center" vertical="center"/>
    </xf>
    <xf numFmtId="0" fontId="2" fillId="3" borderId="21" xfId="0" applyFont="1" applyFill="1" applyBorder="1" applyAlignment="1">
      <alignment horizontal="center" vertical="center"/>
    </xf>
    <xf numFmtId="0" fontId="14" fillId="3" borderId="25" xfId="0" applyFont="1" applyFill="1" applyBorder="1"/>
    <xf numFmtId="0" fontId="14" fillId="3" borderId="27" xfId="0" applyFont="1" applyFill="1" applyBorder="1"/>
    <xf numFmtId="0" fontId="2" fillId="3" borderId="22" xfId="0" applyFont="1" applyFill="1" applyBorder="1" applyAlignment="1">
      <alignment horizontal="left" vertical="center"/>
    </xf>
    <xf numFmtId="0" fontId="14" fillId="3" borderId="28" xfId="0" applyFont="1" applyFill="1" applyBorder="1"/>
    <xf numFmtId="0" fontId="13" fillId="3" borderId="24" xfId="0" applyFont="1" applyFill="1" applyBorder="1" applyAlignment="1">
      <alignment horizontal="center" vertical="center"/>
    </xf>
    <xf numFmtId="0" fontId="14" fillId="3" borderId="26" xfId="0" applyFont="1" applyFill="1" applyBorder="1"/>
    <xf numFmtId="0" fontId="14" fillId="3" borderId="31" xfId="0" applyFont="1" applyFill="1" applyBorder="1"/>
    <xf numFmtId="0" fontId="6" fillId="0" borderId="0" xfId="0" applyFont="1" applyAlignment="1">
      <alignment horizontal="center"/>
    </xf>
    <xf numFmtId="0" fontId="13" fillId="0" borderId="20" xfId="0" applyFont="1" applyBorder="1" applyAlignment="1">
      <alignment horizontal="right" vertical="center"/>
    </xf>
    <xf numFmtId="0" fontId="13" fillId="0" borderId="6" xfId="0" applyFont="1" applyBorder="1" applyAlignment="1">
      <alignment horizontal="right" vertical="center"/>
    </xf>
    <xf numFmtId="0" fontId="13" fillId="0" borderId="19" xfId="0" applyFont="1" applyBorder="1" applyAlignment="1">
      <alignment horizontal="right" vertical="center"/>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K127"/>
  <sheetViews>
    <sheetView tabSelected="1" zoomScaleSheetLayoutView="85" workbookViewId="0">
      <selection activeCell="E26" sqref="E26"/>
    </sheetView>
  </sheetViews>
  <sheetFormatPr defaultColWidth="9.140625" defaultRowHeight="18.75"/>
  <cols>
    <col min="1" max="1" width="9.85546875" style="1" bestFit="1" customWidth="1"/>
    <col min="2" max="2" width="24" style="2" customWidth="1"/>
    <col min="3" max="3" width="23.28515625" style="2" customWidth="1"/>
    <col min="4" max="4" width="28.85546875" style="28" customWidth="1"/>
    <col min="5" max="5" width="69.7109375" style="1" customWidth="1"/>
    <col min="6" max="6" width="12.85546875" style="3" customWidth="1"/>
    <col min="7" max="7" width="12.5703125" style="3" customWidth="1"/>
    <col min="8" max="8" width="11" style="28" bestFit="1" customWidth="1"/>
    <col min="9" max="9" width="16.7109375" style="3" customWidth="1"/>
    <col min="10" max="10" width="18.140625" style="3" customWidth="1"/>
    <col min="11" max="16384" width="9.140625" style="1"/>
  </cols>
  <sheetData>
    <row r="1" spans="1:11" ht="21">
      <c r="A1" s="159" t="s">
        <v>16</v>
      </c>
      <c r="B1" s="160"/>
      <c r="C1" s="160"/>
      <c r="D1" s="160"/>
      <c r="E1" s="160"/>
      <c r="F1" s="160"/>
      <c r="G1" s="160"/>
      <c r="H1" s="160"/>
      <c r="I1" s="160"/>
      <c r="J1" s="160"/>
      <c r="K1" s="4"/>
    </row>
    <row r="2" spans="1:11" ht="21">
      <c r="A2" s="159" t="s">
        <v>23</v>
      </c>
      <c r="B2" s="160"/>
      <c r="C2" s="160"/>
      <c r="D2" s="160"/>
      <c r="E2" s="160"/>
      <c r="F2" s="160"/>
      <c r="G2" s="160"/>
      <c r="H2" s="160"/>
      <c r="I2" s="160"/>
      <c r="J2" s="160"/>
      <c r="K2" s="4"/>
    </row>
    <row r="3" spans="1:11" ht="23.25" customHeight="1">
      <c r="A3" s="159" t="s">
        <v>6</v>
      </c>
      <c r="B3" s="160"/>
      <c r="C3" s="160"/>
      <c r="D3" s="160"/>
      <c r="E3" s="160"/>
      <c r="F3" s="160"/>
      <c r="G3" s="160"/>
      <c r="H3" s="160"/>
      <c r="I3" s="160"/>
      <c r="J3" s="160"/>
      <c r="K3" s="4"/>
    </row>
    <row r="4" spans="1:11" ht="21">
      <c r="A4" s="161" t="s">
        <v>128</v>
      </c>
      <c r="B4" s="162"/>
      <c r="C4" s="162"/>
      <c r="D4" s="162"/>
      <c r="E4" s="162"/>
      <c r="F4" s="162"/>
      <c r="G4" s="162"/>
      <c r="H4" s="162"/>
      <c r="I4" s="162"/>
      <c r="J4" s="162"/>
      <c r="K4" s="4"/>
    </row>
    <row r="5" spans="1:11" ht="16.5" customHeight="1">
      <c r="A5" s="163" t="s">
        <v>17</v>
      </c>
      <c r="B5" s="164"/>
      <c r="C5" s="164"/>
      <c r="D5" s="164"/>
      <c r="E5" s="164"/>
      <c r="F5" s="164"/>
      <c r="G5" s="164"/>
      <c r="H5" s="164"/>
      <c r="I5" s="164"/>
      <c r="J5" s="165"/>
      <c r="K5" s="4"/>
    </row>
    <row r="6" spans="1:11" ht="37.5">
      <c r="A6" s="15" t="s">
        <v>5</v>
      </c>
      <c r="B6" s="16" t="s">
        <v>18</v>
      </c>
      <c r="C6" s="16" t="s">
        <v>19</v>
      </c>
      <c r="D6" s="98" t="s">
        <v>82</v>
      </c>
      <c r="E6" s="99" t="s">
        <v>8</v>
      </c>
      <c r="F6" s="100" t="s">
        <v>1</v>
      </c>
      <c r="G6" s="100" t="s">
        <v>0</v>
      </c>
      <c r="H6" s="98" t="s">
        <v>2</v>
      </c>
      <c r="I6" s="16" t="s">
        <v>20</v>
      </c>
      <c r="J6" s="15" t="s">
        <v>3</v>
      </c>
      <c r="K6" s="4" t="s">
        <v>4</v>
      </c>
    </row>
    <row r="7" spans="1:11" ht="17.25" customHeight="1">
      <c r="A7" s="148">
        <v>1</v>
      </c>
      <c r="B7" s="148" t="s">
        <v>21</v>
      </c>
      <c r="C7" s="148" t="s">
        <v>130</v>
      </c>
      <c r="D7" s="87" t="s">
        <v>131</v>
      </c>
      <c r="E7" s="115" t="s">
        <v>132</v>
      </c>
      <c r="F7" s="87">
        <v>3</v>
      </c>
      <c r="G7" s="87"/>
      <c r="H7" s="87"/>
      <c r="I7" s="13"/>
      <c r="J7" s="153">
        <f>SUM(F7,H8,H9)</f>
        <v>10</v>
      </c>
      <c r="K7" s="4"/>
    </row>
    <row r="8" spans="1:11" ht="18.75" customHeight="1">
      <c r="A8" s="149"/>
      <c r="B8" s="149"/>
      <c r="C8" s="149"/>
      <c r="D8" s="87" t="s">
        <v>131</v>
      </c>
      <c r="E8" s="93" t="s">
        <v>134</v>
      </c>
      <c r="F8" s="87"/>
      <c r="G8" s="87"/>
      <c r="H8" s="87">
        <v>4</v>
      </c>
      <c r="I8" s="13">
        <v>1</v>
      </c>
      <c r="J8" s="154"/>
      <c r="K8" s="4"/>
    </row>
    <row r="9" spans="1:11" ht="18.75" customHeight="1">
      <c r="A9" s="149"/>
      <c r="B9" s="149"/>
      <c r="C9" s="149"/>
      <c r="D9" s="85" t="s">
        <v>35</v>
      </c>
      <c r="E9" s="93" t="s">
        <v>133</v>
      </c>
      <c r="F9" s="87"/>
      <c r="G9" s="87"/>
      <c r="H9" s="87">
        <v>3</v>
      </c>
      <c r="I9" s="13" t="s">
        <v>127</v>
      </c>
      <c r="J9" s="154"/>
      <c r="K9" s="4"/>
    </row>
    <row r="10" spans="1:11" ht="18.75" customHeight="1">
      <c r="A10" s="148">
        <v>2</v>
      </c>
      <c r="B10" s="148" t="s">
        <v>22</v>
      </c>
      <c r="C10" s="148" t="s">
        <v>71</v>
      </c>
      <c r="D10" s="87" t="s">
        <v>117</v>
      </c>
      <c r="E10" s="86" t="s">
        <v>72</v>
      </c>
      <c r="F10" s="87">
        <v>3</v>
      </c>
      <c r="G10" s="87"/>
      <c r="H10" s="87"/>
      <c r="I10" s="13">
        <v>1</v>
      </c>
      <c r="J10" s="153">
        <f>SUM(F10:H14)</f>
        <v>17</v>
      </c>
      <c r="K10" s="4"/>
    </row>
    <row r="11" spans="1:11" ht="18.75" customHeight="1">
      <c r="A11" s="149"/>
      <c r="B11" s="149"/>
      <c r="C11" s="149"/>
      <c r="D11" s="87" t="s">
        <v>117</v>
      </c>
      <c r="E11" s="86" t="s">
        <v>73</v>
      </c>
      <c r="F11" s="46"/>
      <c r="G11" s="87"/>
      <c r="H11" s="87">
        <v>4</v>
      </c>
      <c r="I11" s="13">
        <v>1</v>
      </c>
      <c r="J11" s="154"/>
      <c r="K11" s="4"/>
    </row>
    <row r="12" spans="1:11" ht="16.5" customHeight="1">
      <c r="A12" s="149"/>
      <c r="B12" s="149"/>
      <c r="C12" s="149"/>
      <c r="D12" s="87" t="s">
        <v>136</v>
      </c>
      <c r="E12" s="93" t="s">
        <v>39</v>
      </c>
      <c r="F12" s="87">
        <v>3</v>
      </c>
      <c r="G12" s="87"/>
      <c r="H12" s="87"/>
      <c r="I12" s="13">
        <v>1</v>
      </c>
      <c r="J12" s="154"/>
      <c r="K12" s="4"/>
    </row>
    <row r="13" spans="1:11" ht="18.75" customHeight="1">
      <c r="A13" s="149"/>
      <c r="B13" s="149"/>
      <c r="C13" s="149"/>
      <c r="D13" s="87" t="s">
        <v>136</v>
      </c>
      <c r="E13" s="93" t="s">
        <v>137</v>
      </c>
      <c r="F13" s="87"/>
      <c r="G13" s="87"/>
      <c r="H13" s="87">
        <v>4</v>
      </c>
      <c r="I13" s="13">
        <v>1</v>
      </c>
      <c r="J13" s="154"/>
      <c r="K13" s="4"/>
    </row>
    <row r="14" spans="1:11" ht="18.75" customHeight="1">
      <c r="A14" s="149"/>
      <c r="B14" s="149"/>
      <c r="C14" s="149"/>
      <c r="D14" s="85" t="s">
        <v>35</v>
      </c>
      <c r="E14" s="93" t="s">
        <v>135</v>
      </c>
      <c r="F14" s="87"/>
      <c r="G14" s="87"/>
      <c r="H14" s="87">
        <v>3</v>
      </c>
      <c r="I14" s="13" t="s">
        <v>127</v>
      </c>
      <c r="J14" s="154"/>
      <c r="K14" s="4"/>
    </row>
    <row r="15" spans="1:11" ht="21.75" customHeight="1">
      <c r="A15" s="148">
        <v>3</v>
      </c>
      <c r="B15" s="148" t="s">
        <v>125</v>
      </c>
      <c r="C15" s="148" t="s">
        <v>71</v>
      </c>
      <c r="D15" s="87" t="s">
        <v>131</v>
      </c>
      <c r="E15" s="101" t="s">
        <v>138</v>
      </c>
      <c r="F15" s="87">
        <v>3</v>
      </c>
      <c r="G15" s="87"/>
      <c r="H15" s="87"/>
      <c r="I15" s="13">
        <v>1</v>
      </c>
      <c r="J15" s="153">
        <f>SUM(F15:H19)</f>
        <v>16</v>
      </c>
      <c r="K15" s="4"/>
    </row>
    <row r="16" spans="1:11" ht="18.75" customHeight="1">
      <c r="A16" s="149"/>
      <c r="B16" s="149"/>
      <c r="C16" s="149"/>
      <c r="D16" s="87" t="s">
        <v>139</v>
      </c>
      <c r="E16" s="93" t="s">
        <v>138</v>
      </c>
      <c r="F16" s="87">
        <v>3</v>
      </c>
      <c r="G16" s="87"/>
      <c r="H16" s="87"/>
      <c r="I16" s="13"/>
      <c r="J16" s="154"/>
      <c r="K16" s="4"/>
    </row>
    <row r="17" spans="1:11" ht="20.25" customHeight="1">
      <c r="A17" s="149"/>
      <c r="B17" s="149"/>
      <c r="C17" s="149"/>
      <c r="D17" s="87" t="s">
        <v>117</v>
      </c>
      <c r="E17" s="86" t="s">
        <v>72</v>
      </c>
      <c r="F17" s="87">
        <v>3</v>
      </c>
      <c r="G17" s="87"/>
      <c r="H17" s="87"/>
      <c r="I17" s="13">
        <v>1</v>
      </c>
      <c r="J17" s="154"/>
      <c r="K17" s="4"/>
    </row>
    <row r="18" spans="1:11" ht="18.75" customHeight="1">
      <c r="A18" s="149"/>
      <c r="B18" s="149"/>
      <c r="C18" s="149"/>
      <c r="D18" s="87" t="s">
        <v>117</v>
      </c>
      <c r="E18" s="86" t="s">
        <v>73</v>
      </c>
      <c r="F18" s="46"/>
      <c r="G18" s="87"/>
      <c r="H18" s="87">
        <v>4</v>
      </c>
      <c r="I18" s="13">
        <v>1</v>
      </c>
      <c r="J18" s="154"/>
      <c r="K18" s="4"/>
    </row>
    <row r="19" spans="1:11" ht="17.25" customHeight="1">
      <c r="A19" s="149"/>
      <c r="B19" s="149"/>
      <c r="C19" s="149"/>
      <c r="D19" s="85" t="s">
        <v>35</v>
      </c>
      <c r="E19" s="93" t="s">
        <v>135</v>
      </c>
      <c r="F19" s="87"/>
      <c r="G19" s="87"/>
      <c r="H19" s="87">
        <v>3</v>
      </c>
      <c r="I19" s="13" t="s">
        <v>127</v>
      </c>
      <c r="J19" s="154"/>
      <c r="K19" s="4"/>
    </row>
    <row r="20" spans="1:11" ht="18.75" customHeight="1">
      <c r="A20" s="148">
        <v>4</v>
      </c>
      <c r="B20" s="148" t="s">
        <v>24</v>
      </c>
      <c r="C20" s="148" t="s">
        <v>74</v>
      </c>
      <c r="D20" s="85" t="s">
        <v>40</v>
      </c>
      <c r="E20" s="86" t="s">
        <v>39</v>
      </c>
      <c r="F20" s="87">
        <v>3</v>
      </c>
      <c r="G20" s="87"/>
      <c r="H20" s="87"/>
      <c r="I20" s="13">
        <v>1</v>
      </c>
      <c r="J20" s="153">
        <f>SUM(F20:H24)</f>
        <v>17</v>
      </c>
      <c r="K20" s="4"/>
    </row>
    <row r="21" spans="1:11" ht="18.75" customHeight="1">
      <c r="A21" s="149"/>
      <c r="B21" s="149"/>
      <c r="C21" s="149"/>
      <c r="D21" s="85" t="s">
        <v>75</v>
      </c>
      <c r="E21" s="86" t="s">
        <v>76</v>
      </c>
      <c r="F21" s="87"/>
      <c r="G21" s="87"/>
      <c r="H21" s="87">
        <v>4</v>
      </c>
      <c r="I21" s="13">
        <v>1</v>
      </c>
      <c r="J21" s="154"/>
      <c r="K21" s="4"/>
    </row>
    <row r="22" spans="1:11" ht="18.75" customHeight="1">
      <c r="A22" s="149"/>
      <c r="B22" s="149"/>
      <c r="C22" s="149"/>
      <c r="D22" s="87" t="s">
        <v>131</v>
      </c>
      <c r="E22" s="101" t="s">
        <v>140</v>
      </c>
      <c r="F22" s="87">
        <v>3</v>
      </c>
      <c r="G22" s="90"/>
      <c r="H22" s="90"/>
      <c r="I22" s="13">
        <v>1</v>
      </c>
      <c r="J22" s="154"/>
      <c r="K22" s="4"/>
    </row>
    <row r="23" spans="1:11" ht="18.75" customHeight="1">
      <c r="A23" s="149"/>
      <c r="B23" s="149"/>
      <c r="C23" s="149"/>
      <c r="D23" s="87" t="s">
        <v>131</v>
      </c>
      <c r="E23" s="104" t="s">
        <v>141</v>
      </c>
      <c r="F23" s="90"/>
      <c r="G23" s="90"/>
      <c r="H23" s="90">
        <v>4</v>
      </c>
      <c r="I23" s="13">
        <v>1</v>
      </c>
      <c r="J23" s="154"/>
      <c r="K23" s="4"/>
    </row>
    <row r="24" spans="1:11" ht="18.75" customHeight="1">
      <c r="A24" s="149"/>
      <c r="B24" s="149"/>
      <c r="C24" s="149"/>
      <c r="D24" s="85" t="s">
        <v>35</v>
      </c>
      <c r="E24" s="93" t="s">
        <v>151</v>
      </c>
      <c r="F24" s="46"/>
      <c r="G24" s="46"/>
      <c r="H24" s="47">
        <v>3</v>
      </c>
      <c r="I24" s="13" t="s">
        <v>127</v>
      </c>
      <c r="J24" s="154"/>
      <c r="K24" s="4"/>
    </row>
    <row r="25" spans="1:11" ht="18.75" customHeight="1">
      <c r="A25" s="148">
        <v>5</v>
      </c>
      <c r="B25" s="148" t="s">
        <v>25</v>
      </c>
      <c r="C25" s="148" t="s">
        <v>74</v>
      </c>
      <c r="D25" s="87" t="s">
        <v>142</v>
      </c>
      <c r="E25" s="101" t="s">
        <v>144</v>
      </c>
      <c r="F25" s="87">
        <v>3</v>
      </c>
      <c r="G25" s="90"/>
      <c r="H25" s="90"/>
      <c r="I25" s="13">
        <v>1</v>
      </c>
      <c r="J25" s="153">
        <f>SUM(F25:H29)</f>
        <v>16</v>
      </c>
      <c r="K25" s="4"/>
    </row>
    <row r="26" spans="1:11" ht="18.75" customHeight="1">
      <c r="A26" s="149"/>
      <c r="B26" s="149"/>
      <c r="C26" s="149"/>
      <c r="D26" s="87" t="s">
        <v>143</v>
      </c>
      <c r="E26" s="115" t="s">
        <v>145</v>
      </c>
      <c r="F26" s="90"/>
      <c r="G26" s="90"/>
      <c r="H26" s="90">
        <v>4</v>
      </c>
      <c r="I26" s="13">
        <v>1</v>
      </c>
      <c r="J26" s="154"/>
      <c r="K26" s="4"/>
    </row>
    <row r="27" spans="1:11" ht="18.75" customHeight="1">
      <c r="A27" s="149"/>
      <c r="B27" s="149"/>
      <c r="C27" s="149"/>
      <c r="D27" s="130" t="s">
        <v>139</v>
      </c>
      <c r="E27" s="131" t="s">
        <v>140</v>
      </c>
      <c r="F27" s="130">
        <v>3</v>
      </c>
      <c r="G27" s="106"/>
      <c r="H27" s="106"/>
      <c r="I27" s="130">
        <v>1</v>
      </c>
      <c r="J27" s="154"/>
      <c r="K27" s="4"/>
    </row>
    <row r="28" spans="1:11" ht="18.75" customHeight="1">
      <c r="A28" s="149"/>
      <c r="B28" s="149"/>
      <c r="C28" s="149"/>
      <c r="D28" s="130" t="s">
        <v>139</v>
      </c>
      <c r="E28" s="132" t="s">
        <v>141</v>
      </c>
      <c r="F28" s="106"/>
      <c r="G28" s="106"/>
      <c r="H28" s="106">
        <v>4</v>
      </c>
      <c r="I28" s="130">
        <v>1</v>
      </c>
      <c r="J28" s="154"/>
      <c r="K28" s="4"/>
    </row>
    <row r="29" spans="1:11" ht="18.75" customHeight="1">
      <c r="A29" s="149"/>
      <c r="B29" s="149"/>
      <c r="C29" s="149"/>
      <c r="D29" s="103" t="s">
        <v>123</v>
      </c>
      <c r="E29" s="86" t="s">
        <v>77</v>
      </c>
      <c r="F29" s="46"/>
      <c r="G29" s="46"/>
      <c r="H29" s="47">
        <v>2</v>
      </c>
      <c r="I29" s="13">
        <v>1</v>
      </c>
      <c r="J29" s="154"/>
      <c r="K29" s="4"/>
    </row>
    <row r="30" spans="1:11" ht="18.75" customHeight="1">
      <c r="A30" s="157">
        <v>6</v>
      </c>
      <c r="B30" s="157" t="s">
        <v>26</v>
      </c>
      <c r="C30" s="157" t="s">
        <v>74</v>
      </c>
      <c r="D30" s="85" t="s">
        <v>38</v>
      </c>
      <c r="E30" s="93" t="s">
        <v>146</v>
      </c>
      <c r="F30" s="87">
        <v>3</v>
      </c>
      <c r="G30" s="87"/>
      <c r="H30" s="87"/>
      <c r="I30" s="87">
        <v>1</v>
      </c>
      <c r="J30" s="151">
        <f>SUM(F30:H34)</f>
        <v>16</v>
      </c>
      <c r="K30" s="4"/>
    </row>
    <row r="31" spans="1:11" ht="18.75" customHeight="1">
      <c r="A31" s="158"/>
      <c r="B31" s="158"/>
      <c r="C31" s="158"/>
      <c r="D31" s="85" t="s">
        <v>38</v>
      </c>
      <c r="E31" s="93" t="s">
        <v>43</v>
      </c>
      <c r="F31" s="87"/>
      <c r="G31" s="87"/>
      <c r="H31" s="87">
        <v>4</v>
      </c>
      <c r="I31" s="87">
        <v>1</v>
      </c>
      <c r="J31" s="152"/>
      <c r="K31" s="4"/>
    </row>
    <row r="32" spans="1:11" ht="18.75" customHeight="1">
      <c r="A32" s="158"/>
      <c r="B32" s="158"/>
      <c r="C32" s="158"/>
      <c r="D32" s="87" t="s">
        <v>153</v>
      </c>
      <c r="E32" s="86" t="s">
        <v>147</v>
      </c>
      <c r="F32" s="87">
        <v>3</v>
      </c>
      <c r="G32" s="87"/>
      <c r="H32" s="87"/>
      <c r="I32" s="87">
        <v>1</v>
      </c>
      <c r="J32" s="152"/>
      <c r="K32" s="4"/>
    </row>
    <row r="33" spans="1:11" ht="18.75" customHeight="1">
      <c r="A33" s="158"/>
      <c r="B33" s="158"/>
      <c r="C33" s="158"/>
      <c r="D33" s="121" t="s">
        <v>148</v>
      </c>
      <c r="E33" s="122" t="s">
        <v>149</v>
      </c>
      <c r="F33" s="123"/>
      <c r="G33" s="123"/>
      <c r="H33" s="123">
        <v>4</v>
      </c>
      <c r="I33" s="123"/>
      <c r="J33" s="152"/>
      <c r="K33" s="4"/>
    </row>
    <row r="34" spans="1:11" ht="18.75" customHeight="1">
      <c r="A34" s="158"/>
      <c r="B34" s="158"/>
      <c r="C34" s="158"/>
      <c r="D34" s="88" t="s">
        <v>35</v>
      </c>
      <c r="E34" s="93" t="s">
        <v>151</v>
      </c>
      <c r="F34" s="87"/>
      <c r="G34" s="87"/>
      <c r="H34" s="87">
        <v>2</v>
      </c>
      <c r="I34" s="87" t="s">
        <v>112</v>
      </c>
      <c r="J34" s="152"/>
      <c r="K34" s="4"/>
    </row>
    <row r="35" spans="1:11" ht="18.75" customHeight="1">
      <c r="A35" s="157">
        <v>7</v>
      </c>
      <c r="B35" s="148" t="s">
        <v>27</v>
      </c>
      <c r="C35" s="157" t="s">
        <v>74</v>
      </c>
      <c r="D35" s="85" t="s">
        <v>36</v>
      </c>
      <c r="E35" s="86" t="s">
        <v>37</v>
      </c>
      <c r="F35" s="87">
        <v>3</v>
      </c>
      <c r="G35" s="87"/>
      <c r="H35" s="87"/>
      <c r="I35" s="87">
        <v>1</v>
      </c>
      <c r="J35" s="151">
        <f>SUM(F35:H39)</f>
        <v>16</v>
      </c>
      <c r="K35" s="4"/>
    </row>
    <row r="36" spans="1:11" ht="18.75" customHeight="1">
      <c r="A36" s="158"/>
      <c r="B36" s="149"/>
      <c r="C36" s="158"/>
      <c r="D36" s="85" t="s">
        <v>115</v>
      </c>
      <c r="E36" s="101" t="s">
        <v>116</v>
      </c>
      <c r="F36" s="103">
        <v>3</v>
      </c>
      <c r="G36" s="87"/>
      <c r="H36" s="87"/>
      <c r="I36" s="87">
        <v>1</v>
      </c>
      <c r="J36" s="152"/>
      <c r="K36" s="4"/>
    </row>
    <row r="37" spans="1:11" ht="33" customHeight="1">
      <c r="A37" s="158"/>
      <c r="B37" s="149"/>
      <c r="C37" s="158"/>
      <c r="D37" s="130" t="s">
        <v>194</v>
      </c>
      <c r="E37" s="131" t="s">
        <v>195</v>
      </c>
      <c r="F37" s="133">
        <v>3</v>
      </c>
      <c r="G37" s="133"/>
      <c r="H37" s="134"/>
      <c r="I37" s="133"/>
      <c r="J37" s="152"/>
      <c r="K37" s="4"/>
    </row>
    <row r="38" spans="1:11" ht="18.75" customHeight="1">
      <c r="A38" s="158"/>
      <c r="B38" s="149"/>
      <c r="C38" s="158"/>
      <c r="D38" s="121" t="s">
        <v>150</v>
      </c>
      <c r="E38" s="122" t="s">
        <v>149</v>
      </c>
      <c r="F38" s="123"/>
      <c r="G38" s="123"/>
      <c r="H38" s="123">
        <v>4</v>
      </c>
      <c r="I38" s="123">
        <v>1</v>
      </c>
      <c r="J38" s="152"/>
      <c r="K38" s="4"/>
    </row>
    <row r="39" spans="1:11" ht="18.75" customHeight="1">
      <c r="A39" s="158"/>
      <c r="B39" s="149"/>
      <c r="C39" s="158"/>
      <c r="D39" s="88" t="s">
        <v>35</v>
      </c>
      <c r="E39" s="93" t="s">
        <v>151</v>
      </c>
      <c r="F39" s="46"/>
      <c r="G39" s="46"/>
      <c r="H39" s="47">
        <v>3</v>
      </c>
      <c r="I39" s="87" t="s">
        <v>127</v>
      </c>
      <c r="J39" s="152"/>
      <c r="K39" s="4"/>
    </row>
    <row r="40" spans="1:11" ht="18.75" customHeight="1">
      <c r="A40" s="148">
        <v>8</v>
      </c>
      <c r="B40" s="155" t="s">
        <v>78</v>
      </c>
      <c r="C40" s="148" t="s">
        <v>74</v>
      </c>
      <c r="D40" s="90" t="s">
        <v>154</v>
      </c>
      <c r="E40" s="93" t="s">
        <v>155</v>
      </c>
      <c r="F40" s="103">
        <v>3</v>
      </c>
      <c r="G40" s="87"/>
      <c r="H40" s="87"/>
      <c r="I40" s="13">
        <v>1</v>
      </c>
      <c r="J40" s="153">
        <f>SUM(F40:H43)</f>
        <v>12</v>
      </c>
      <c r="K40" s="4"/>
    </row>
    <row r="41" spans="1:11" ht="18.75" customHeight="1">
      <c r="A41" s="148"/>
      <c r="B41" s="156"/>
      <c r="C41" s="148"/>
      <c r="D41" s="87" t="s">
        <v>152</v>
      </c>
      <c r="E41" s="93" t="s">
        <v>156</v>
      </c>
      <c r="F41" s="103">
        <v>2</v>
      </c>
      <c r="G41" s="87"/>
      <c r="H41" s="87"/>
      <c r="I41" s="13"/>
      <c r="J41" s="153"/>
      <c r="K41" s="4"/>
    </row>
    <row r="42" spans="1:11" ht="18.75" customHeight="1">
      <c r="A42" s="149"/>
      <c r="B42" s="156"/>
      <c r="C42" s="149"/>
      <c r="D42" s="126" t="s">
        <v>124</v>
      </c>
      <c r="E42" s="112" t="s">
        <v>44</v>
      </c>
      <c r="F42" s="127"/>
      <c r="G42" s="127"/>
      <c r="H42" s="128">
        <v>4</v>
      </c>
      <c r="I42" s="114">
        <v>1</v>
      </c>
      <c r="J42" s="154"/>
      <c r="K42" s="4"/>
    </row>
    <row r="43" spans="1:11" ht="18.75" customHeight="1">
      <c r="A43" s="149"/>
      <c r="B43" s="156"/>
      <c r="C43" s="149"/>
      <c r="D43" s="88" t="s">
        <v>35</v>
      </c>
      <c r="E43" s="93" t="s">
        <v>151</v>
      </c>
      <c r="F43" s="46"/>
      <c r="G43" s="46"/>
      <c r="H43" s="47">
        <v>3</v>
      </c>
      <c r="I43" s="87" t="s">
        <v>127</v>
      </c>
      <c r="J43" s="154"/>
      <c r="K43" s="4"/>
    </row>
    <row r="44" spans="1:11" ht="18.75" customHeight="1">
      <c r="A44" s="148">
        <v>9</v>
      </c>
      <c r="B44" s="148" t="s">
        <v>30</v>
      </c>
      <c r="C44" s="148" t="s">
        <v>74</v>
      </c>
      <c r="D44" s="87" t="s">
        <v>42</v>
      </c>
      <c r="E44" s="86" t="s">
        <v>121</v>
      </c>
      <c r="F44" s="47">
        <v>3</v>
      </c>
      <c r="G44" s="46"/>
      <c r="H44" s="47"/>
      <c r="I44" s="13">
        <v>1</v>
      </c>
      <c r="J44" s="153">
        <f>SUM(F45,G45,H45,F47,G47,H47,F48,G48,H48,F44,H46)</f>
        <v>16</v>
      </c>
      <c r="K44" s="4"/>
    </row>
    <row r="45" spans="1:11" ht="18.75" customHeight="1">
      <c r="A45" s="148"/>
      <c r="B45" s="149"/>
      <c r="C45" s="148"/>
      <c r="D45" s="87" t="s">
        <v>42</v>
      </c>
      <c r="E45" s="93" t="s">
        <v>122</v>
      </c>
      <c r="F45" s="87"/>
      <c r="G45" s="87"/>
      <c r="H45" s="87">
        <v>4</v>
      </c>
      <c r="I45" s="13">
        <v>1</v>
      </c>
      <c r="J45" s="153"/>
      <c r="K45" s="4"/>
    </row>
    <row r="46" spans="1:11" ht="18.75" customHeight="1">
      <c r="A46" s="148"/>
      <c r="B46" s="149"/>
      <c r="C46" s="148"/>
      <c r="D46" s="87" t="s">
        <v>36</v>
      </c>
      <c r="E46" s="86" t="s">
        <v>73</v>
      </c>
      <c r="F46" s="87"/>
      <c r="G46" s="87"/>
      <c r="H46" s="87">
        <v>4</v>
      </c>
      <c r="I46" s="13">
        <v>1</v>
      </c>
      <c r="J46" s="153"/>
      <c r="K46" s="4"/>
    </row>
    <row r="47" spans="1:11" ht="18.75" customHeight="1">
      <c r="A47" s="148"/>
      <c r="B47" s="149"/>
      <c r="C47" s="148"/>
      <c r="D47" s="87" t="s">
        <v>36</v>
      </c>
      <c r="E47" s="86" t="s">
        <v>72</v>
      </c>
      <c r="F47" s="87">
        <v>3</v>
      </c>
      <c r="G47" s="87"/>
      <c r="H47" s="87"/>
      <c r="I47" s="13">
        <v>1</v>
      </c>
      <c r="J47" s="153"/>
      <c r="K47" s="4"/>
    </row>
    <row r="48" spans="1:11" ht="18.75" customHeight="1">
      <c r="A48" s="148"/>
      <c r="B48" s="149"/>
      <c r="C48" s="148"/>
      <c r="D48" s="88" t="s">
        <v>35</v>
      </c>
      <c r="E48" s="93" t="s">
        <v>151</v>
      </c>
      <c r="F48" s="46"/>
      <c r="G48" s="46"/>
      <c r="H48" s="47">
        <v>2</v>
      </c>
      <c r="I48" s="87" t="s">
        <v>112</v>
      </c>
      <c r="J48" s="153"/>
      <c r="K48" s="4"/>
    </row>
    <row r="49" spans="1:11" ht="18.75" customHeight="1">
      <c r="A49" s="116"/>
      <c r="B49" s="116"/>
      <c r="C49" s="116"/>
      <c r="D49" s="117"/>
      <c r="E49" s="105"/>
      <c r="F49" s="68"/>
      <c r="G49" s="68"/>
      <c r="H49" s="118"/>
      <c r="I49" s="119"/>
      <c r="J49" s="120"/>
      <c r="K49" s="4"/>
    </row>
    <row r="50" spans="1:11" ht="18.75" customHeight="1">
      <c r="A50" s="116"/>
      <c r="B50" s="116"/>
      <c r="C50" s="116"/>
      <c r="D50" s="117"/>
      <c r="E50" s="105"/>
      <c r="F50" s="68"/>
      <c r="G50" s="68"/>
      <c r="H50" s="118"/>
      <c r="I50" s="119"/>
      <c r="J50" s="120"/>
      <c r="K50" s="4"/>
    </row>
    <row r="51" spans="1:11" ht="18.75" customHeight="1">
      <c r="A51" s="116"/>
      <c r="B51" s="116"/>
      <c r="C51" s="116"/>
      <c r="D51" s="117"/>
      <c r="E51" s="105"/>
      <c r="F51" s="68"/>
      <c r="G51" s="68"/>
      <c r="H51" s="118"/>
      <c r="I51" s="119"/>
      <c r="J51" s="120"/>
      <c r="K51" s="4"/>
    </row>
    <row r="52" spans="1:11" ht="18.75" customHeight="1">
      <c r="A52" s="148">
        <v>10</v>
      </c>
      <c r="B52" s="148" t="s">
        <v>31</v>
      </c>
      <c r="C52" s="148" t="s">
        <v>74</v>
      </c>
      <c r="D52" s="87" t="s">
        <v>40</v>
      </c>
      <c r="E52" s="86" t="s">
        <v>121</v>
      </c>
      <c r="F52" s="47">
        <v>3</v>
      </c>
      <c r="G52" s="46"/>
      <c r="H52" s="47"/>
      <c r="I52" s="13">
        <v>1</v>
      </c>
      <c r="J52" s="151">
        <f>SUM(F52:H55)</f>
        <v>13</v>
      </c>
      <c r="K52" s="4"/>
    </row>
    <row r="53" spans="1:11" ht="18.75" customHeight="1">
      <c r="A53" s="148"/>
      <c r="B53" s="148"/>
      <c r="C53" s="148"/>
      <c r="D53" s="87" t="s">
        <v>40</v>
      </c>
      <c r="E53" s="93" t="s">
        <v>122</v>
      </c>
      <c r="F53" s="87"/>
      <c r="G53" s="87"/>
      <c r="H53" s="87">
        <v>4</v>
      </c>
      <c r="I53" s="13">
        <v>1</v>
      </c>
      <c r="J53" s="151"/>
      <c r="K53" s="4"/>
    </row>
    <row r="54" spans="1:11" ht="22.5" customHeight="1">
      <c r="A54" s="148"/>
      <c r="B54" s="149"/>
      <c r="C54" s="148"/>
      <c r="D54" s="87" t="s">
        <v>143</v>
      </c>
      <c r="E54" s="101" t="s">
        <v>138</v>
      </c>
      <c r="F54" s="87">
        <v>3</v>
      </c>
      <c r="G54" s="87"/>
      <c r="H54" s="87"/>
      <c r="I54" s="13">
        <v>1</v>
      </c>
      <c r="J54" s="151"/>
      <c r="K54" s="4"/>
    </row>
    <row r="55" spans="1:11" ht="18.75" customHeight="1">
      <c r="A55" s="149"/>
      <c r="B55" s="149"/>
      <c r="C55" s="149"/>
      <c r="D55" s="88" t="s">
        <v>35</v>
      </c>
      <c r="E55" s="93" t="s">
        <v>151</v>
      </c>
      <c r="F55" s="46"/>
      <c r="G55" s="46"/>
      <c r="H55" s="47">
        <v>3</v>
      </c>
      <c r="I55" s="87" t="s">
        <v>127</v>
      </c>
      <c r="J55" s="152"/>
      <c r="K55" s="4"/>
    </row>
    <row r="56" spans="1:11" ht="18.75" customHeight="1">
      <c r="A56" s="148">
        <v>11</v>
      </c>
      <c r="B56" s="148" t="s">
        <v>32</v>
      </c>
      <c r="C56" s="148" t="s">
        <v>74</v>
      </c>
      <c r="D56" s="102" t="s">
        <v>79</v>
      </c>
      <c r="E56" s="86" t="s">
        <v>119</v>
      </c>
      <c r="F56" s="90"/>
      <c r="G56" s="102"/>
      <c r="H56" s="85">
        <v>4</v>
      </c>
      <c r="I56" s="90">
        <v>1</v>
      </c>
      <c r="J56" s="153">
        <f>SUM(F56:H59)</f>
        <v>14</v>
      </c>
      <c r="K56" s="4"/>
    </row>
    <row r="57" spans="1:11" ht="18.75" customHeight="1">
      <c r="A57" s="149"/>
      <c r="B57" s="149"/>
      <c r="C57" s="149"/>
      <c r="D57" s="121" t="s">
        <v>190</v>
      </c>
      <c r="E57" s="122" t="s">
        <v>149</v>
      </c>
      <c r="F57" s="123"/>
      <c r="G57" s="123"/>
      <c r="H57" s="123">
        <v>4</v>
      </c>
      <c r="I57" s="123">
        <v>1</v>
      </c>
      <c r="J57" s="154"/>
      <c r="K57" s="4"/>
    </row>
    <row r="58" spans="1:11" ht="18.75" customHeight="1">
      <c r="A58" s="149"/>
      <c r="B58" s="149"/>
      <c r="C58" s="149"/>
      <c r="D58" s="90" t="s">
        <v>154</v>
      </c>
      <c r="E58" s="93" t="s">
        <v>157</v>
      </c>
      <c r="F58" s="103">
        <v>3</v>
      </c>
      <c r="G58" s="87"/>
      <c r="H58" s="87"/>
      <c r="I58" s="13">
        <v>1</v>
      </c>
      <c r="J58" s="154"/>
      <c r="K58" s="4"/>
    </row>
    <row r="59" spans="1:11" ht="18.75" customHeight="1">
      <c r="A59" s="149"/>
      <c r="B59" s="149"/>
      <c r="C59" s="149"/>
      <c r="D59" s="88" t="s">
        <v>35</v>
      </c>
      <c r="E59" s="93" t="s">
        <v>151</v>
      </c>
      <c r="F59" s="46"/>
      <c r="G59" s="46"/>
      <c r="H59" s="47">
        <v>3</v>
      </c>
      <c r="I59" s="87" t="s">
        <v>127</v>
      </c>
      <c r="J59" s="154"/>
      <c r="K59" s="4"/>
    </row>
    <row r="60" spans="1:11" ht="18.75" customHeight="1">
      <c r="A60" s="149"/>
      <c r="B60" s="149"/>
      <c r="C60" s="149"/>
      <c r="D60" s="102"/>
      <c r="E60" s="86"/>
      <c r="F60" s="90"/>
      <c r="G60" s="90"/>
      <c r="H60" s="90"/>
      <c r="I60" s="13"/>
      <c r="J60" s="154"/>
      <c r="K60" s="4"/>
    </row>
    <row r="61" spans="1:11" ht="18.75" customHeight="1">
      <c r="A61" s="148">
        <v>12</v>
      </c>
      <c r="B61" s="148" t="s">
        <v>33</v>
      </c>
      <c r="C61" s="148" t="s">
        <v>74</v>
      </c>
      <c r="D61" s="90" t="s">
        <v>154</v>
      </c>
      <c r="E61" s="93" t="s">
        <v>158</v>
      </c>
      <c r="F61" s="103">
        <v>3</v>
      </c>
      <c r="G61" s="87"/>
      <c r="H61" s="87"/>
      <c r="I61" s="87">
        <v>1</v>
      </c>
      <c r="J61" s="151">
        <f>SUM(F61:H65)</f>
        <v>15</v>
      </c>
      <c r="K61" s="4"/>
    </row>
    <row r="62" spans="1:11" ht="18.75" customHeight="1">
      <c r="A62" s="148"/>
      <c r="B62" s="148"/>
      <c r="C62" s="148"/>
      <c r="D62" s="87" t="s">
        <v>152</v>
      </c>
      <c r="E62" s="124" t="s">
        <v>159</v>
      </c>
      <c r="F62" s="103">
        <v>2</v>
      </c>
      <c r="G62" s="87"/>
      <c r="H62" s="87"/>
      <c r="I62" s="87"/>
      <c r="J62" s="151"/>
      <c r="K62" s="4"/>
    </row>
    <row r="63" spans="1:11" ht="18.75" customHeight="1">
      <c r="A63" s="149"/>
      <c r="B63" s="149"/>
      <c r="C63" s="149"/>
      <c r="D63" s="113" t="s">
        <v>163</v>
      </c>
      <c r="E63" s="112" t="s">
        <v>44</v>
      </c>
      <c r="F63" s="113"/>
      <c r="G63" s="113"/>
      <c r="H63" s="113">
        <v>4</v>
      </c>
      <c r="I63" s="87">
        <v>1</v>
      </c>
      <c r="J63" s="152"/>
      <c r="K63" s="4"/>
    </row>
    <row r="64" spans="1:11" ht="18.75" customHeight="1">
      <c r="A64" s="149"/>
      <c r="B64" s="149"/>
      <c r="C64" s="149"/>
      <c r="D64" s="90" t="s">
        <v>35</v>
      </c>
      <c r="E64" s="125" t="s">
        <v>86</v>
      </c>
      <c r="F64" s="90"/>
      <c r="G64" s="90"/>
      <c r="H64" s="90">
        <v>3</v>
      </c>
      <c r="I64" s="87" t="s">
        <v>127</v>
      </c>
      <c r="J64" s="152"/>
      <c r="K64" s="4"/>
    </row>
    <row r="65" spans="1:11" ht="18.75" customHeight="1">
      <c r="A65" s="149"/>
      <c r="B65" s="149"/>
      <c r="C65" s="149"/>
      <c r="D65" s="137" t="s">
        <v>35</v>
      </c>
      <c r="E65" s="107" t="s">
        <v>193</v>
      </c>
      <c r="F65" s="106">
        <v>3</v>
      </c>
      <c r="G65" s="106"/>
      <c r="H65" s="106"/>
      <c r="I65" s="106">
        <v>1</v>
      </c>
      <c r="J65" s="152"/>
      <c r="K65" s="4"/>
    </row>
    <row r="66" spans="1:11" ht="18.75" customHeight="1">
      <c r="A66" s="148">
        <v>13</v>
      </c>
      <c r="B66" s="148" t="s">
        <v>34</v>
      </c>
      <c r="C66" s="148" t="s">
        <v>74</v>
      </c>
      <c r="D66" s="87" t="s">
        <v>40</v>
      </c>
      <c r="E66" s="86" t="s">
        <v>41</v>
      </c>
      <c r="F66" s="90">
        <v>2</v>
      </c>
      <c r="G66" s="90"/>
      <c r="H66" s="90"/>
      <c r="I66" s="14">
        <v>1</v>
      </c>
      <c r="J66" s="153">
        <f>SUM(F66:H70)</f>
        <v>14</v>
      </c>
      <c r="K66" s="4"/>
    </row>
    <row r="67" spans="1:11" ht="18.75" customHeight="1">
      <c r="A67" s="149"/>
      <c r="B67" s="149"/>
      <c r="C67" s="149"/>
      <c r="D67" s="87" t="s">
        <v>42</v>
      </c>
      <c r="E67" s="86" t="s">
        <v>41</v>
      </c>
      <c r="F67" s="90">
        <v>2</v>
      </c>
      <c r="G67" s="90"/>
      <c r="H67" s="90"/>
      <c r="I67" s="14">
        <v>1</v>
      </c>
      <c r="J67" s="154"/>
      <c r="K67" s="4"/>
    </row>
    <row r="68" spans="1:11" ht="18.75" customHeight="1">
      <c r="A68" s="149"/>
      <c r="B68" s="149"/>
      <c r="C68" s="149"/>
      <c r="D68" s="88" t="s">
        <v>35</v>
      </c>
      <c r="E68" s="93" t="s">
        <v>160</v>
      </c>
      <c r="F68" s="90">
        <v>3</v>
      </c>
      <c r="G68" s="90"/>
      <c r="H68" s="90"/>
      <c r="I68" s="14">
        <v>1</v>
      </c>
      <c r="J68" s="154"/>
      <c r="K68" s="4"/>
    </row>
    <row r="69" spans="1:11" ht="18.75" customHeight="1">
      <c r="A69" s="149"/>
      <c r="B69" s="149"/>
      <c r="C69" s="149"/>
      <c r="D69" s="113" t="s">
        <v>162</v>
      </c>
      <c r="E69" s="112" t="s">
        <v>44</v>
      </c>
      <c r="F69" s="113"/>
      <c r="G69" s="113"/>
      <c r="H69" s="113">
        <v>4</v>
      </c>
      <c r="I69" s="14"/>
      <c r="J69" s="154"/>
      <c r="K69" s="4"/>
    </row>
    <row r="70" spans="1:11" ht="18.75" customHeight="1">
      <c r="A70" s="149"/>
      <c r="B70" s="149"/>
      <c r="C70" s="149"/>
      <c r="D70" s="90" t="s">
        <v>35</v>
      </c>
      <c r="E70" s="86" t="s">
        <v>86</v>
      </c>
      <c r="F70" s="90"/>
      <c r="G70" s="90"/>
      <c r="H70" s="90">
        <v>3</v>
      </c>
      <c r="I70" s="14" t="s">
        <v>127</v>
      </c>
      <c r="J70" s="154"/>
      <c r="K70" s="4"/>
    </row>
    <row r="71" spans="1:11" ht="18.75" customHeight="1">
      <c r="A71" s="148">
        <v>14</v>
      </c>
      <c r="B71" s="148" t="s">
        <v>81</v>
      </c>
      <c r="C71" s="166" t="s">
        <v>71</v>
      </c>
      <c r="D71" s="87" t="s">
        <v>117</v>
      </c>
      <c r="E71" s="86" t="s">
        <v>37</v>
      </c>
      <c r="F71" s="87">
        <v>3</v>
      </c>
      <c r="G71" s="87"/>
      <c r="H71" s="87"/>
      <c r="I71" s="87">
        <v>1</v>
      </c>
      <c r="J71" s="153">
        <f>SUM(F71:H74)</f>
        <v>13</v>
      </c>
      <c r="K71" s="4"/>
    </row>
    <row r="72" spans="1:11" ht="18.75" customHeight="1">
      <c r="A72" s="149"/>
      <c r="B72" s="149"/>
      <c r="C72" s="149"/>
      <c r="D72" s="106" t="s">
        <v>164</v>
      </c>
      <c r="E72" s="107" t="s">
        <v>165</v>
      </c>
      <c r="F72" s="106">
        <v>3</v>
      </c>
      <c r="G72" s="106"/>
      <c r="H72" s="106"/>
      <c r="I72" s="97">
        <v>1</v>
      </c>
      <c r="J72" s="154"/>
      <c r="K72" s="4"/>
    </row>
    <row r="73" spans="1:11" ht="21.75" customHeight="1">
      <c r="A73" s="149"/>
      <c r="B73" s="149"/>
      <c r="C73" s="149"/>
      <c r="D73" s="113" t="s">
        <v>166</v>
      </c>
      <c r="E73" s="112" t="s">
        <v>44</v>
      </c>
      <c r="F73" s="113"/>
      <c r="G73" s="113"/>
      <c r="H73" s="113">
        <v>4</v>
      </c>
      <c r="I73" s="90">
        <v>1</v>
      </c>
      <c r="J73" s="154"/>
      <c r="K73" s="4"/>
    </row>
    <row r="74" spans="1:11" ht="18.75" customHeight="1">
      <c r="A74" s="149"/>
      <c r="B74" s="149"/>
      <c r="C74" s="149"/>
      <c r="D74" s="102" t="s">
        <v>35</v>
      </c>
      <c r="E74" s="86" t="s">
        <v>86</v>
      </c>
      <c r="F74" s="90"/>
      <c r="G74" s="90"/>
      <c r="H74" s="90">
        <v>3</v>
      </c>
      <c r="I74" s="14" t="s">
        <v>127</v>
      </c>
      <c r="J74" s="154"/>
      <c r="K74" s="4"/>
    </row>
    <row r="75" spans="1:11" ht="18.75" customHeight="1">
      <c r="A75" s="148">
        <v>15</v>
      </c>
      <c r="B75" s="155" t="s">
        <v>113</v>
      </c>
      <c r="C75" s="148" t="s">
        <v>74</v>
      </c>
      <c r="D75" s="87" t="s">
        <v>40</v>
      </c>
      <c r="E75" s="86" t="s">
        <v>167</v>
      </c>
      <c r="F75" s="90">
        <v>4</v>
      </c>
      <c r="G75" s="90"/>
      <c r="H75" s="90"/>
      <c r="I75" s="90">
        <v>1</v>
      </c>
      <c r="J75" s="153">
        <f>SUM(F75:H79)</f>
        <v>16</v>
      </c>
      <c r="K75" s="4"/>
    </row>
    <row r="76" spans="1:11" ht="18.75" customHeight="1">
      <c r="A76" s="148"/>
      <c r="B76" s="156"/>
      <c r="C76" s="148"/>
      <c r="D76" s="87" t="s">
        <v>42</v>
      </c>
      <c r="E76" s="107" t="s">
        <v>167</v>
      </c>
      <c r="F76" s="90">
        <v>4</v>
      </c>
      <c r="G76" s="90"/>
      <c r="H76" s="90"/>
      <c r="I76" s="90">
        <v>1</v>
      </c>
      <c r="J76" s="153"/>
      <c r="K76" s="4"/>
    </row>
    <row r="77" spans="1:11" ht="18.75" customHeight="1">
      <c r="A77" s="149"/>
      <c r="B77" s="156"/>
      <c r="C77" s="149"/>
      <c r="D77" s="130" t="s">
        <v>169</v>
      </c>
      <c r="E77" s="107" t="s">
        <v>168</v>
      </c>
      <c r="F77" s="133"/>
      <c r="G77" s="133"/>
      <c r="H77" s="134">
        <v>4</v>
      </c>
      <c r="I77" s="133">
        <v>1</v>
      </c>
      <c r="J77" s="154"/>
      <c r="K77" s="4"/>
    </row>
    <row r="78" spans="1:11" ht="18.75" customHeight="1">
      <c r="A78" s="149"/>
      <c r="B78" s="156"/>
      <c r="C78" s="149"/>
      <c r="D78" s="136" t="s">
        <v>170</v>
      </c>
      <c r="E78" s="135" t="s">
        <v>44</v>
      </c>
      <c r="F78" s="138"/>
      <c r="G78" s="138"/>
      <c r="H78" s="139">
        <v>2</v>
      </c>
      <c r="I78" s="106">
        <v>1</v>
      </c>
      <c r="J78" s="154"/>
      <c r="K78" s="4"/>
    </row>
    <row r="79" spans="1:11" ht="18.75" customHeight="1">
      <c r="A79" s="149"/>
      <c r="B79" s="167"/>
      <c r="C79" s="149"/>
      <c r="D79" s="102" t="s">
        <v>35</v>
      </c>
      <c r="E79" s="86" t="s">
        <v>86</v>
      </c>
      <c r="F79" s="90"/>
      <c r="G79" s="90"/>
      <c r="H79" s="90">
        <v>2</v>
      </c>
      <c r="I79" s="14" t="s">
        <v>112</v>
      </c>
      <c r="J79" s="154"/>
      <c r="K79" s="4"/>
    </row>
    <row r="80" spans="1:11" ht="18.75" customHeight="1">
      <c r="A80" s="148">
        <v>16</v>
      </c>
      <c r="B80" s="155" t="s">
        <v>171</v>
      </c>
      <c r="C80" s="148" t="s">
        <v>74</v>
      </c>
      <c r="D80" s="85" t="s">
        <v>80</v>
      </c>
      <c r="E80" s="93" t="s">
        <v>118</v>
      </c>
      <c r="F80" s="108">
        <v>2</v>
      </c>
      <c r="G80" s="90"/>
      <c r="H80" s="90"/>
      <c r="I80" s="14">
        <v>1</v>
      </c>
      <c r="J80" s="153">
        <f>SUM(F80:H84)</f>
        <v>15</v>
      </c>
      <c r="K80" s="4"/>
    </row>
    <row r="81" spans="1:11" ht="18.75" customHeight="1">
      <c r="A81" s="148"/>
      <c r="B81" s="156"/>
      <c r="C81" s="148"/>
      <c r="D81" s="87" t="s">
        <v>87</v>
      </c>
      <c r="E81" s="86" t="s">
        <v>118</v>
      </c>
      <c r="F81" s="108">
        <v>2</v>
      </c>
      <c r="G81" s="90"/>
      <c r="H81" s="90"/>
      <c r="I81" s="14">
        <v>1</v>
      </c>
      <c r="J81" s="153"/>
      <c r="K81" s="4"/>
    </row>
    <row r="82" spans="1:11" ht="18.75" customHeight="1">
      <c r="A82" s="149"/>
      <c r="B82" s="156"/>
      <c r="C82" s="149"/>
      <c r="D82" s="88" t="s">
        <v>35</v>
      </c>
      <c r="E82" s="93" t="s">
        <v>172</v>
      </c>
      <c r="F82" s="90">
        <v>3</v>
      </c>
      <c r="G82" s="88"/>
      <c r="H82" s="93"/>
      <c r="I82" s="90"/>
      <c r="J82" s="154"/>
      <c r="K82" s="4"/>
    </row>
    <row r="83" spans="1:11" ht="18.75" customHeight="1">
      <c r="A83" s="149"/>
      <c r="B83" s="156"/>
      <c r="C83" s="149"/>
      <c r="D83" s="113" t="s">
        <v>189</v>
      </c>
      <c r="E83" s="112" t="s">
        <v>44</v>
      </c>
      <c r="F83" s="127"/>
      <c r="G83" s="127"/>
      <c r="H83" s="128">
        <v>6</v>
      </c>
      <c r="I83" s="113">
        <v>1</v>
      </c>
      <c r="J83" s="154"/>
      <c r="K83" s="4"/>
    </row>
    <row r="84" spans="1:11">
      <c r="A84" s="149"/>
      <c r="B84" s="167"/>
      <c r="C84" s="149"/>
      <c r="D84" s="88" t="s">
        <v>35</v>
      </c>
      <c r="E84" s="86" t="s">
        <v>86</v>
      </c>
      <c r="F84" s="46"/>
      <c r="G84" s="46"/>
      <c r="H84" s="47">
        <v>2</v>
      </c>
      <c r="I84" s="14" t="s">
        <v>112</v>
      </c>
      <c r="J84" s="154"/>
      <c r="K84" s="4"/>
    </row>
    <row r="85" spans="1:11">
      <c r="A85" s="148">
        <v>17</v>
      </c>
      <c r="B85" s="148" t="s">
        <v>114</v>
      </c>
      <c r="C85" s="148" t="s">
        <v>74</v>
      </c>
      <c r="D85" s="87" t="s">
        <v>139</v>
      </c>
      <c r="E85" s="115" t="s">
        <v>132</v>
      </c>
      <c r="F85" s="87">
        <v>3</v>
      </c>
      <c r="G85" s="87"/>
      <c r="H85" s="87"/>
      <c r="I85" s="13"/>
      <c r="J85" s="153">
        <f xml:space="preserve"> SUM(F85:H89)</f>
        <v>16</v>
      </c>
      <c r="K85" s="4"/>
    </row>
    <row r="86" spans="1:11" ht="18.75" customHeight="1">
      <c r="A86" s="149"/>
      <c r="B86" s="148"/>
      <c r="C86" s="149"/>
      <c r="D86" s="87" t="s">
        <v>139</v>
      </c>
      <c r="E86" s="93" t="s">
        <v>134</v>
      </c>
      <c r="F86" s="87"/>
      <c r="G86" s="87"/>
      <c r="H86" s="87">
        <v>4</v>
      </c>
      <c r="I86" s="13">
        <v>1</v>
      </c>
      <c r="J86" s="154"/>
      <c r="K86" s="4"/>
    </row>
    <row r="87" spans="1:11" ht="18.75" customHeight="1">
      <c r="A87" s="149"/>
      <c r="B87" s="148"/>
      <c r="C87" s="149"/>
      <c r="D87" s="87" t="s">
        <v>131</v>
      </c>
      <c r="E87" s="93" t="s">
        <v>134</v>
      </c>
      <c r="F87" s="87"/>
      <c r="G87" s="87"/>
      <c r="H87" s="87">
        <v>4</v>
      </c>
      <c r="I87" s="13">
        <v>1</v>
      </c>
      <c r="J87" s="154"/>
      <c r="K87" s="4"/>
    </row>
    <row r="88" spans="1:11" ht="18.75" customHeight="1">
      <c r="A88" s="149"/>
      <c r="B88" s="148"/>
      <c r="C88" s="149"/>
      <c r="D88" s="121" t="s">
        <v>173</v>
      </c>
      <c r="E88" s="122" t="s">
        <v>149</v>
      </c>
      <c r="F88" s="123"/>
      <c r="G88" s="123"/>
      <c r="H88" s="123">
        <v>2</v>
      </c>
      <c r="I88" s="123">
        <v>1</v>
      </c>
      <c r="J88" s="154"/>
      <c r="K88" s="4"/>
    </row>
    <row r="89" spans="1:11">
      <c r="A89" s="149"/>
      <c r="B89" s="168"/>
      <c r="C89" s="149"/>
      <c r="D89" s="85" t="s">
        <v>35</v>
      </c>
      <c r="E89" s="86" t="s">
        <v>86</v>
      </c>
      <c r="F89" s="46"/>
      <c r="G89" s="46"/>
      <c r="H89" s="90">
        <v>3</v>
      </c>
      <c r="I89" s="87" t="s">
        <v>127</v>
      </c>
      <c r="J89" s="154"/>
    </row>
    <row r="90" spans="1:11">
      <c r="A90" s="148">
        <v>18</v>
      </c>
      <c r="B90" s="148" t="s">
        <v>174</v>
      </c>
      <c r="C90" s="148" t="s">
        <v>74</v>
      </c>
      <c r="D90" s="87" t="s">
        <v>36</v>
      </c>
      <c r="E90" s="93" t="s">
        <v>146</v>
      </c>
      <c r="F90" s="87">
        <v>3</v>
      </c>
      <c r="G90" s="87"/>
      <c r="H90" s="87"/>
      <c r="I90" s="87">
        <v>1</v>
      </c>
      <c r="J90" s="153">
        <f>SUM(F95:H99)</f>
        <v>15</v>
      </c>
    </row>
    <row r="91" spans="1:11">
      <c r="A91" s="148"/>
      <c r="B91" s="148"/>
      <c r="C91" s="171"/>
      <c r="D91" s="87" t="s">
        <v>36</v>
      </c>
      <c r="E91" s="93" t="s">
        <v>43</v>
      </c>
      <c r="F91" s="87"/>
      <c r="G91" s="87"/>
      <c r="H91" s="87">
        <v>4</v>
      </c>
      <c r="I91" s="87">
        <v>1</v>
      </c>
      <c r="J91" s="153"/>
    </row>
    <row r="92" spans="1:11">
      <c r="A92" s="148"/>
      <c r="B92" s="148"/>
      <c r="C92" s="171"/>
      <c r="D92" s="87" t="s">
        <v>117</v>
      </c>
      <c r="E92" s="93" t="s">
        <v>146</v>
      </c>
      <c r="F92" s="87">
        <v>3</v>
      </c>
      <c r="G92" s="87"/>
      <c r="H92" s="87"/>
      <c r="I92" s="87">
        <v>1</v>
      </c>
      <c r="J92" s="153"/>
    </row>
    <row r="93" spans="1:11">
      <c r="A93" s="149"/>
      <c r="B93" s="149"/>
      <c r="C93" s="172"/>
      <c r="D93" s="87" t="s">
        <v>117</v>
      </c>
      <c r="E93" s="93" t="s">
        <v>43</v>
      </c>
      <c r="F93" s="87"/>
      <c r="G93" s="87"/>
      <c r="H93" s="87">
        <v>4</v>
      </c>
      <c r="I93" s="87">
        <v>1</v>
      </c>
      <c r="J93" s="154"/>
    </row>
    <row r="94" spans="1:11">
      <c r="A94" s="149"/>
      <c r="B94" s="149"/>
      <c r="C94" s="172"/>
      <c r="D94" s="85" t="s">
        <v>35</v>
      </c>
      <c r="E94" s="86" t="s">
        <v>86</v>
      </c>
      <c r="F94" s="91"/>
      <c r="G94" s="90"/>
      <c r="H94" s="90">
        <v>2</v>
      </c>
      <c r="I94" s="92" t="s">
        <v>112</v>
      </c>
      <c r="J94" s="154"/>
    </row>
    <row r="95" spans="1:11">
      <c r="A95" s="148">
        <v>19</v>
      </c>
      <c r="B95" s="148" t="s">
        <v>175</v>
      </c>
      <c r="C95" s="148" t="s">
        <v>74</v>
      </c>
      <c r="D95" s="90" t="s">
        <v>176</v>
      </c>
      <c r="E95" s="86" t="s">
        <v>119</v>
      </c>
      <c r="F95" s="90"/>
      <c r="G95" s="102"/>
      <c r="H95" s="85">
        <v>4</v>
      </c>
      <c r="I95" s="90">
        <v>1</v>
      </c>
      <c r="J95" s="176">
        <f>SUM(F95:H99)</f>
        <v>15</v>
      </c>
    </row>
    <row r="96" spans="1:11" ht="31.5">
      <c r="A96" s="148"/>
      <c r="B96" s="148"/>
      <c r="C96" s="148"/>
      <c r="D96" s="87" t="s">
        <v>177</v>
      </c>
      <c r="E96" s="93" t="s">
        <v>178</v>
      </c>
      <c r="F96" s="87">
        <v>3</v>
      </c>
      <c r="G96" s="87"/>
      <c r="H96" s="87"/>
      <c r="I96" s="87">
        <v>1</v>
      </c>
      <c r="J96" s="177"/>
    </row>
    <row r="97" spans="1:10">
      <c r="A97" s="148"/>
      <c r="B97" s="148"/>
      <c r="C97" s="148"/>
      <c r="D97" s="87" t="s">
        <v>169</v>
      </c>
      <c r="E97" s="86" t="s">
        <v>41</v>
      </c>
      <c r="F97" s="90">
        <v>2</v>
      </c>
      <c r="G97" s="109"/>
      <c r="H97" s="109"/>
      <c r="I97" s="14">
        <v>1</v>
      </c>
      <c r="J97" s="177"/>
    </row>
    <row r="98" spans="1:10">
      <c r="A98" s="149"/>
      <c r="B98" s="149"/>
      <c r="C98" s="149"/>
      <c r="D98" s="121" t="s">
        <v>179</v>
      </c>
      <c r="E98" s="122" t="s">
        <v>149</v>
      </c>
      <c r="F98" s="123"/>
      <c r="G98" s="123"/>
      <c r="H98" s="123">
        <v>4</v>
      </c>
      <c r="I98" s="123">
        <v>1</v>
      </c>
      <c r="J98" s="177"/>
    </row>
    <row r="99" spans="1:10">
      <c r="A99" s="149"/>
      <c r="B99" s="149"/>
      <c r="C99" s="149"/>
      <c r="D99" s="85" t="s">
        <v>35</v>
      </c>
      <c r="E99" s="86" t="s">
        <v>86</v>
      </c>
      <c r="F99" s="91"/>
      <c r="G99" s="90"/>
      <c r="H99" s="90">
        <v>2</v>
      </c>
      <c r="I99" s="14" t="s">
        <v>112</v>
      </c>
      <c r="J99" s="178"/>
    </row>
    <row r="100" spans="1:10">
      <c r="A100" s="94" t="s">
        <v>126</v>
      </c>
      <c r="B100" s="94"/>
      <c r="C100" s="94"/>
      <c r="D100" s="110" t="s">
        <v>126</v>
      </c>
      <c r="E100" s="105"/>
      <c r="F100" s="110"/>
      <c r="G100" s="110"/>
      <c r="H100" s="110"/>
      <c r="I100" s="96"/>
      <c r="J100" s="95"/>
    </row>
    <row r="101" spans="1:10">
      <c r="A101" s="94"/>
      <c r="B101" s="94"/>
      <c r="C101" s="94"/>
      <c r="D101" s="111"/>
      <c r="E101" s="105"/>
      <c r="F101" s="110"/>
      <c r="G101" s="110"/>
      <c r="H101" s="110"/>
      <c r="I101" s="96"/>
      <c r="J101" s="95"/>
    </row>
    <row r="102" spans="1:10">
      <c r="A102" s="94"/>
      <c r="B102" s="94"/>
      <c r="C102" s="94"/>
      <c r="D102" s="111"/>
      <c r="E102" s="105"/>
      <c r="F102" s="110"/>
      <c r="G102" s="110"/>
      <c r="H102" s="110"/>
      <c r="I102" s="96"/>
      <c r="J102" s="95"/>
    </row>
    <row r="103" spans="1:10">
      <c r="A103" s="148">
        <v>20</v>
      </c>
      <c r="B103" s="148" t="s">
        <v>180</v>
      </c>
      <c r="C103" s="148" t="s">
        <v>74</v>
      </c>
      <c r="D103" s="87" t="s">
        <v>169</v>
      </c>
      <c r="E103" s="86" t="s">
        <v>121</v>
      </c>
      <c r="F103" s="47">
        <v>3</v>
      </c>
      <c r="G103" s="46"/>
      <c r="H103" s="47"/>
      <c r="I103" s="13">
        <v>1</v>
      </c>
      <c r="J103" s="150">
        <f>SUM(F103:H107)</f>
        <v>14</v>
      </c>
    </row>
    <row r="104" spans="1:10">
      <c r="A104" s="148"/>
      <c r="B104" s="148"/>
      <c r="C104" s="148"/>
      <c r="D104" s="87" t="s">
        <v>169</v>
      </c>
      <c r="E104" s="93" t="s">
        <v>122</v>
      </c>
      <c r="F104" s="87"/>
      <c r="G104" s="87"/>
      <c r="H104" s="87">
        <v>4</v>
      </c>
      <c r="I104" s="13">
        <v>1</v>
      </c>
      <c r="J104" s="150"/>
    </row>
    <row r="105" spans="1:10">
      <c r="A105" s="148"/>
      <c r="B105" s="148"/>
      <c r="C105" s="148"/>
      <c r="D105" s="85" t="s">
        <v>80</v>
      </c>
      <c r="E105" s="93" t="s">
        <v>118</v>
      </c>
      <c r="F105" s="108">
        <v>2</v>
      </c>
      <c r="G105" s="90"/>
      <c r="H105" s="90"/>
      <c r="I105" s="14">
        <v>1</v>
      </c>
      <c r="J105" s="150"/>
    </row>
    <row r="106" spans="1:10">
      <c r="A106" s="148"/>
      <c r="B106" s="148"/>
      <c r="C106" s="148"/>
      <c r="D106" s="121" t="s">
        <v>183</v>
      </c>
      <c r="E106" s="122" t="s">
        <v>149</v>
      </c>
      <c r="F106" s="123"/>
      <c r="G106" s="123"/>
      <c r="H106" s="123">
        <v>2</v>
      </c>
      <c r="I106" s="123">
        <v>1</v>
      </c>
      <c r="J106" s="150"/>
    </row>
    <row r="107" spans="1:10">
      <c r="A107" s="148"/>
      <c r="B107" s="149"/>
      <c r="C107" s="148"/>
      <c r="D107" s="85" t="s">
        <v>35</v>
      </c>
      <c r="E107" s="86" t="s">
        <v>86</v>
      </c>
      <c r="F107" s="91"/>
      <c r="G107" s="90"/>
      <c r="H107" s="90">
        <v>3</v>
      </c>
      <c r="I107" s="87" t="s">
        <v>127</v>
      </c>
      <c r="J107" s="150"/>
    </row>
    <row r="108" spans="1:10">
      <c r="A108" s="148">
        <v>21</v>
      </c>
      <c r="B108" s="148" t="s">
        <v>181</v>
      </c>
      <c r="C108" s="148" t="s">
        <v>74</v>
      </c>
      <c r="D108" s="90" t="s">
        <v>161</v>
      </c>
      <c r="E108" s="86" t="s">
        <v>120</v>
      </c>
      <c r="F108" s="90"/>
      <c r="G108" s="102"/>
      <c r="H108" s="85">
        <v>4</v>
      </c>
      <c r="I108" s="89"/>
      <c r="J108" s="176">
        <f>SUM(F108:H111)</f>
        <v>14</v>
      </c>
    </row>
    <row r="109" spans="1:10" ht="31.5">
      <c r="A109" s="148"/>
      <c r="B109" s="148"/>
      <c r="C109" s="148"/>
      <c r="D109" s="87" t="s">
        <v>185</v>
      </c>
      <c r="E109" s="124" t="s">
        <v>184</v>
      </c>
      <c r="F109" s="103">
        <v>3</v>
      </c>
      <c r="G109" s="90"/>
      <c r="H109" s="90"/>
      <c r="I109" s="14"/>
      <c r="J109" s="177"/>
    </row>
    <row r="110" spans="1:10">
      <c r="A110" s="148"/>
      <c r="B110" s="148"/>
      <c r="C110" s="148"/>
      <c r="D110" s="121" t="s">
        <v>191</v>
      </c>
      <c r="E110" s="122" t="s">
        <v>149</v>
      </c>
      <c r="F110" s="123"/>
      <c r="G110" s="123"/>
      <c r="H110" s="123">
        <v>4</v>
      </c>
      <c r="I110" s="123">
        <v>1</v>
      </c>
      <c r="J110" s="177"/>
    </row>
    <row r="111" spans="1:10">
      <c r="A111" s="148"/>
      <c r="B111" s="148"/>
      <c r="C111" s="148"/>
      <c r="D111" s="85" t="s">
        <v>35</v>
      </c>
      <c r="E111" s="86" t="s">
        <v>86</v>
      </c>
      <c r="F111" s="91"/>
      <c r="G111" s="90"/>
      <c r="H111" s="90">
        <v>3</v>
      </c>
      <c r="I111" s="87" t="s">
        <v>127</v>
      </c>
      <c r="J111" s="177"/>
    </row>
    <row r="112" spans="1:10">
      <c r="A112" s="148">
        <v>22</v>
      </c>
      <c r="B112" s="148" t="s">
        <v>182</v>
      </c>
      <c r="C112" s="148" t="s">
        <v>74</v>
      </c>
      <c r="D112" s="87" t="s">
        <v>143</v>
      </c>
      <c r="E112" s="115" t="s">
        <v>186</v>
      </c>
      <c r="F112" s="87">
        <v>3</v>
      </c>
      <c r="G112" s="87"/>
      <c r="H112" s="87"/>
      <c r="I112" s="13"/>
      <c r="J112" s="150">
        <f>SUM(F112:H116)</f>
        <v>16</v>
      </c>
    </row>
    <row r="113" spans="1:10">
      <c r="A113" s="148"/>
      <c r="B113" s="148"/>
      <c r="C113" s="148"/>
      <c r="D113" s="87" t="s">
        <v>143</v>
      </c>
      <c r="E113" s="93" t="s">
        <v>187</v>
      </c>
      <c r="F113" s="87"/>
      <c r="G113" s="87"/>
      <c r="H113" s="87">
        <v>4</v>
      </c>
      <c r="I113" s="13">
        <v>1</v>
      </c>
      <c r="J113" s="150"/>
    </row>
    <row r="114" spans="1:10">
      <c r="A114" s="148"/>
      <c r="B114" s="148"/>
      <c r="C114" s="148"/>
      <c r="D114" s="87" t="s">
        <v>188</v>
      </c>
      <c r="E114" s="93" t="s">
        <v>39</v>
      </c>
      <c r="F114" s="87">
        <v>3</v>
      </c>
      <c r="G114" s="87"/>
      <c r="H114" s="87"/>
      <c r="I114" s="13">
        <v>1</v>
      </c>
      <c r="J114" s="150"/>
    </row>
    <row r="115" spans="1:10">
      <c r="A115" s="148"/>
      <c r="B115" s="148"/>
      <c r="C115" s="148"/>
      <c r="D115" s="87" t="s">
        <v>188</v>
      </c>
      <c r="E115" s="93" t="s">
        <v>137</v>
      </c>
      <c r="F115" s="87"/>
      <c r="G115" s="87"/>
      <c r="H115" s="87">
        <v>4</v>
      </c>
      <c r="I115" s="13">
        <v>1</v>
      </c>
      <c r="J115" s="150"/>
    </row>
    <row r="116" spans="1:10">
      <c r="A116" s="149"/>
      <c r="B116" s="149"/>
      <c r="C116" s="149"/>
      <c r="D116" s="85" t="s">
        <v>35</v>
      </c>
      <c r="E116" s="86" t="s">
        <v>86</v>
      </c>
      <c r="F116" s="91"/>
      <c r="G116" s="90"/>
      <c r="H116" s="90">
        <v>2</v>
      </c>
      <c r="I116" s="14" t="s">
        <v>112</v>
      </c>
      <c r="J116" s="150"/>
    </row>
    <row r="117" spans="1:10" ht="21">
      <c r="A117" s="17"/>
      <c r="B117" s="173" t="s">
        <v>9</v>
      </c>
      <c r="C117" s="174"/>
      <c r="D117" s="174"/>
      <c r="E117" s="174"/>
      <c r="F117" s="174"/>
      <c r="G117" s="174"/>
      <c r="H117" s="175"/>
      <c r="I117" s="18"/>
      <c r="J117" s="19">
        <f xml:space="preserve"> SUM(J7:J112)</f>
        <v>326</v>
      </c>
    </row>
    <row r="118" spans="1:10">
      <c r="A118" s="20" t="s">
        <v>10</v>
      </c>
      <c r="B118" s="179" t="s">
        <v>192</v>
      </c>
      <c r="C118" s="180"/>
      <c r="D118" s="180"/>
      <c r="E118" s="180"/>
      <c r="F118" s="180"/>
      <c r="G118" s="180"/>
      <c r="H118" s="180"/>
      <c r="I118" s="180"/>
      <c r="J118" s="181"/>
    </row>
    <row r="119" spans="1:10">
      <c r="A119" s="21"/>
      <c r="B119" s="22"/>
      <c r="C119" s="22"/>
      <c r="D119" s="83"/>
      <c r="E119" s="22"/>
      <c r="F119" s="21"/>
      <c r="G119" s="21"/>
      <c r="H119" s="76"/>
      <c r="I119" s="22"/>
      <c r="J119" s="21"/>
    </row>
    <row r="120" spans="1:10">
      <c r="A120" s="21"/>
      <c r="B120" s="23" t="s">
        <v>14</v>
      </c>
      <c r="C120" s="22"/>
      <c r="D120" s="83"/>
      <c r="E120" s="22"/>
      <c r="F120" s="21"/>
      <c r="G120" s="21"/>
      <c r="H120" s="76"/>
      <c r="I120" s="22"/>
      <c r="J120" s="21"/>
    </row>
    <row r="121" spans="1:10">
      <c r="A121" s="21"/>
      <c r="B121" s="23" t="s">
        <v>15</v>
      </c>
      <c r="C121" s="22"/>
      <c r="D121" s="83"/>
      <c r="E121" s="22"/>
      <c r="F121" s="21"/>
      <c r="G121" s="21"/>
      <c r="H121" s="76"/>
      <c r="I121" s="22"/>
      <c r="J121" s="21"/>
    </row>
    <row r="122" spans="1:10">
      <c r="A122" s="21"/>
      <c r="B122" s="22"/>
      <c r="C122" s="22"/>
      <c r="D122" s="83"/>
      <c r="E122" s="22"/>
      <c r="F122" s="21"/>
      <c r="G122" s="21"/>
      <c r="H122" s="76"/>
      <c r="I122" s="22"/>
      <c r="J122" s="21"/>
    </row>
    <row r="123" spans="1:10">
      <c r="A123" s="21"/>
      <c r="B123" s="22"/>
      <c r="C123" s="22"/>
      <c r="D123" s="83"/>
      <c r="E123" s="22"/>
      <c r="F123" s="21"/>
      <c r="G123" s="21"/>
      <c r="H123" s="76"/>
      <c r="I123" s="22"/>
      <c r="J123" s="21"/>
    </row>
    <row r="124" spans="1:10">
      <c r="A124" s="21"/>
      <c r="B124" s="169" t="s">
        <v>13</v>
      </c>
      <c r="C124" s="169"/>
      <c r="D124" s="169"/>
      <c r="E124" s="22"/>
      <c r="F124" s="170" t="s">
        <v>13</v>
      </c>
      <c r="G124" s="170"/>
      <c r="H124" s="170"/>
      <c r="I124" s="170"/>
      <c r="J124" s="170"/>
    </row>
    <row r="125" spans="1:10">
      <c r="A125" s="21"/>
      <c r="B125" s="169" t="s">
        <v>11</v>
      </c>
      <c r="C125" s="169"/>
      <c r="D125" s="169"/>
      <c r="E125" s="22"/>
      <c r="F125" s="170" t="s">
        <v>12</v>
      </c>
      <c r="G125" s="170"/>
      <c r="H125" s="170"/>
      <c r="I125" s="170"/>
      <c r="J125" s="170"/>
    </row>
    <row r="126" spans="1:10">
      <c r="A126" s="24"/>
      <c r="B126" s="25"/>
      <c r="C126" s="25"/>
      <c r="D126" s="27"/>
      <c r="E126" s="24"/>
      <c r="F126" s="26"/>
      <c r="G126" s="26"/>
      <c r="H126" s="27"/>
      <c r="I126" s="26"/>
      <c r="J126" s="26"/>
    </row>
    <row r="127" spans="1:10">
      <c r="A127" s="24"/>
      <c r="B127" s="25"/>
      <c r="C127" s="25"/>
      <c r="D127" s="27"/>
      <c r="E127" s="24"/>
      <c r="F127" s="26"/>
      <c r="G127" s="26"/>
      <c r="H127" s="27"/>
      <c r="I127" s="26"/>
      <c r="J127" s="26"/>
    </row>
  </sheetData>
  <mergeCells count="99">
    <mergeCell ref="B125:D125"/>
    <mergeCell ref="F125:J125"/>
    <mergeCell ref="A90:A94"/>
    <mergeCell ref="B90:B94"/>
    <mergeCell ref="C90:C94"/>
    <mergeCell ref="J90:J94"/>
    <mergeCell ref="B117:H117"/>
    <mergeCell ref="A95:A99"/>
    <mergeCell ref="C95:C99"/>
    <mergeCell ref="J95:J99"/>
    <mergeCell ref="A108:A111"/>
    <mergeCell ref="J108:J111"/>
    <mergeCell ref="C108:C111"/>
    <mergeCell ref="B118:J118"/>
    <mergeCell ref="B124:D124"/>
    <mergeCell ref="F124:J124"/>
    <mergeCell ref="A75:A79"/>
    <mergeCell ref="J85:J89"/>
    <mergeCell ref="B75:B79"/>
    <mergeCell ref="B80:B84"/>
    <mergeCell ref="B85:B89"/>
    <mergeCell ref="A7:A9"/>
    <mergeCell ref="A10:A14"/>
    <mergeCell ref="C75:C79"/>
    <mergeCell ref="J75:J79"/>
    <mergeCell ref="A71:A74"/>
    <mergeCell ref="B71:B74"/>
    <mergeCell ref="C71:C74"/>
    <mergeCell ref="J71:J74"/>
    <mergeCell ref="A56:A60"/>
    <mergeCell ref="B44:B48"/>
    <mergeCell ref="C56:C60"/>
    <mergeCell ref="J56:J60"/>
    <mergeCell ref="J61:J65"/>
    <mergeCell ref="A66:A70"/>
    <mergeCell ref="B56:B60"/>
    <mergeCell ref="A61:A65"/>
    <mergeCell ref="B7:B9"/>
    <mergeCell ref="C7:C9"/>
    <mergeCell ref="B15:B19"/>
    <mergeCell ref="C15:C19"/>
    <mergeCell ref="J15:J19"/>
    <mergeCell ref="J7:J9"/>
    <mergeCell ref="B10:B14"/>
    <mergeCell ref="C10:C14"/>
    <mergeCell ref="J10:J14"/>
    <mergeCell ref="A1:J1"/>
    <mergeCell ref="A2:J2"/>
    <mergeCell ref="A3:J3"/>
    <mergeCell ref="A4:J4"/>
    <mergeCell ref="A5:J5"/>
    <mergeCell ref="A25:A29"/>
    <mergeCell ref="A15:A19"/>
    <mergeCell ref="A20:A24"/>
    <mergeCell ref="J35:J39"/>
    <mergeCell ref="A30:A34"/>
    <mergeCell ref="J30:J34"/>
    <mergeCell ref="J25:J29"/>
    <mergeCell ref="B25:B29"/>
    <mergeCell ref="C25:C29"/>
    <mergeCell ref="B20:B24"/>
    <mergeCell ref="C20:C24"/>
    <mergeCell ref="J20:J24"/>
    <mergeCell ref="C35:C39"/>
    <mergeCell ref="C30:C34"/>
    <mergeCell ref="A35:A39"/>
    <mergeCell ref="B30:B34"/>
    <mergeCell ref="B95:B99"/>
    <mergeCell ref="B103:B107"/>
    <mergeCell ref="B112:B116"/>
    <mergeCell ref="J40:J43"/>
    <mergeCell ref="A44:A48"/>
    <mergeCell ref="B40:B43"/>
    <mergeCell ref="C44:C48"/>
    <mergeCell ref="J44:J48"/>
    <mergeCell ref="A40:A43"/>
    <mergeCell ref="C40:C43"/>
    <mergeCell ref="A103:A107"/>
    <mergeCell ref="C66:C70"/>
    <mergeCell ref="J66:J70"/>
    <mergeCell ref="A80:A84"/>
    <mergeCell ref="C80:C84"/>
    <mergeCell ref="J80:J84"/>
    <mergeCell ref="A112:A116"/>
    <mergeCell ref="B108:B111"/>
    <mergeCell ref="B35:B39"/>
    <mergeCell ref="C112:C116"/>
    <mergeCell ref="J112:J116"/>
    <mergeCell ref="A52:A55"/>
    <mergeCell ref="B52:B55"/>
    <mergeCell ref="C52:C55"/>
    <mergeCell ref="J52:J55"/>
    <mergeCell ref="C61:C65"/>
    <mergeCell ref="C103:C107"/>
    <mergeCell ref="J103:J107"/>
    <mergeCell ref="A85:A89"/>
    <mergeCell ref="B66:B70"/>
    <mergeCell ref="C85:C89"/>
    <mergeCell ref="B61:B65"/>
  </mergeCells>
  <printOptions horizontalCentered="1"/>
  <pageMargins left="0.31496062992125984" right="0.11811023622047245" top="0.11811023622047245" bottom="0.11811023622047245"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dimension ref="A1:J109"/>
  <sheetViews>
    <sheetView workbookViewId="0">
      <selection activeCell="D77" sqref="D77"/>
    </sheetView>
  </sheetViews>
  <sheetFormatPr defaultRowHeight="15"/>
  <cols>
    <col min="2" max="2" width="22.42578125" customWidth="1"/>
    <col min="3" max="3" width="24.85546875" customWidth="1"/>
    <col min="4" max="4" width="46.42578125" customWidth="1"/>
    <col min="5" max="5" width="15.28515625" customWidth="1"/>
    <col min="6" max="6" width="16.7109375" customWidth="1"/>
    <col min="7" max="7" width="16.5703125" customWidth="1"/>
    <col min="8" max="8" width="20.5703125" customWidth="1"/>
    <col min="9" max="9" width="75.140625" customWidth="1"/>
  </cols>
  <sheetData>
    <row r="1" spans="1:9" ht="19.5">
      <c r="A1" s="191" t="s">
        <v>45</v>
      </c>
      <c r="B1" s="191"/>
      <c r="C1" s="191"/>
      <c r="D1" s="191"/>
      <c r="E1" s="191"/>
      <c r="F1" s="191"/>
      <c r="G1" s="191"/>
      <c r="H1" s="191"/>
      <c r="I1" s="5"/>
    </row>
    <row r="2" spans="1:9" ht="19.5">
      <c r="A2" s="191" t="s">
        <v>46</v>
      </c>
      <c r="B2" s="191"/>
      <c r="C2" s="191"/>
      <c r="D2" s="191"/>
      <c r="E2" s="191"/>
      <c r="F2" s="191"/>
      <c r="G2" s="191"/>
      <c r="H2" s="191"/>
      <c r="I2" s="5"/>
    </row>
    <row r="3" spans="1:9" ht="19.5">
      <c r="A3" s="191" t="s">
        <v>6</v>
      </c>
      <c r="B3" s="191"/>
      <c r="C3" s="191"/>
      <c r="D3" s="191"/>
      <c r="E3" s="191"/>
      <c r="F3" s="191"/>
      <c r="G3" s="191"/>
      <c r="H3" s="191"/>
      <c r="I3" s="5"/>
    </row>
    <row r="4" spans="1:9" ht="19.5">
      <c r="A4" s="192" t="s">
        <v>129</v>
      </c>
      <c r="B4" s="192"/>
      <c r="C4" s="192"/>
      <c r="D4" s="192"/>
      <c r="E4" s="192"/>
      <c r="F4" s="192"/>
      <c r="G4" s="192"/>
      <c r="H4" s="192"/>
      <c r="I4" s="5"/>
    </row>
    <row r="5" spans="1:9" ht="19.5">
      <c r="A5" s="193" t="s">
        <v>47</v>
      </c>
      <c r="B5" s="194"/>
      <c r="C5" s="194"/>
      <c r="D5" s="194"/>
      <c r="E5" s="194"/>
      <c r="F5" s="194"/>
      <c r="G5" s="194"/>
      <c r="H5" s="195"/>
      <c r="I5" s="5"/>
    </row>
    <row r="6" spans="1:9" ht="19.5">
      <c r="A6" s="72" t="s">
        <v>5</v>
      </c>
      <c r="B6" s="72" t="s">
        <v>48</v>
      </c>
      <c r="C6" s="72" t="s">
        <v>7</v>
      </c>
      <c r="D6" s="72" t="s">
        <v>8</v>
      </c>
      <c r="E6" s="72" t="s">
        <v>1</v>
      </c>
      <c r="F6" s="72" t="s">
        <v>0</v>
      </c>
      <c r="G6" s="72" t="s">
        <v>2</v>
      </c>
      <c r="H6" s="72" t="s">
        <v>3</v>
      </c>
      <c r="I6" s="5" t="s">
        <v>4</v>
      </c>
    </row>
    <row r="7" spans="1:9" ht="19.5">
      <c r="A7" s="186">
        <v>1</v>
      </c>
      <c r="B7" s="189" t="s">
        <v>21</v>
      </c>
      <c r="C7" s="29" t="s">
        <v>40</v>
      </c>
      <c r="D7" s="30" t="s">
        <v>88</v>
      </c>
      <c r="E7" s="31">
        <v>3</v>
      </c>
      <c r="F7" s="31"/>
      <c r="G7" s="31"/>
      <c r="H7" s="190">
        <f>SUM(E7,G8,G9)</f>
        <v>16</v>
      </c>
      <c r="I7" s="5"/>
    </row>
    <row r="8" spans="1:9" ht="19.5">
      <c r="A8" s="187"/>
      <c r="B8" s="187"/>
      <c r="C8" s="29" t="s">
        <v>40</v>
      </c>
      <c r="D8" s="29" t="s">
        <v>89</v>
      </c>
      <c r="E8" s="31"/>
      <c r="F8" s="31"/>
      <c r="G8" s="31">
        <v>4</v>
      </c>
      <c r="H8" s="187"/>
      <c r="I8" s="5"/>
    </row>
    <row r="9" spans="1:9" ht="19.5">
      <c r="A9" s="188"/>
      <c r="B9" s="188"/>
      <c r="C9" s="29" t="s">
        <v>49</v>
      </c>
      <c r="D9" s="29" t="s">
        <v>111</v>
      </c>
      <c r="E9" s="31"/>
      <c r="F9" s="31"/>
      <c r="G9" s="31">
        <v>9</v>
      </c>
      <c r="H9" s="187"/>
      <c r="I9" s="5"/>
    </row>
    <row r="10" spans="1:9" ht="31.5">
      <c r="A10" s="186">
        <v>2</v>
      </c>
      <c r="B10" s="189" t="s">
        <v>22</v>
      </c>
      <c r="C10" s="29" t="s">
        <v>40</v>
      </c>
      <c r="D10" s="32" t="s">
        <v>90</v>
      </c>
      <c r="E10" s="31">
        <v>2</v>
      </c>
      <c r="F10" s="31"/>
      <c r="G10" s="31"/>
      <c r="H10" s="190">
        <f>SUM(E10,E11,G34,G12)</f>
        <v>15</v>
      </c>
      <c r="I10" s="6"/>
    </row>
    <row r="11" spans="1:9" ht="15.75">
      <c r="A11" s="187"/>
      <c r="B11" s="187"/>
      <c r="C11" s="29" t="s">
        <v>50</v>
      </c>
      <c r="D11" s="29" t="s">
        <v>91</v>
      </c>
      <c r="E11" s="31">
        <v>6</v>
      </c>
      <c r="F11" s="31"/>
      <c r="G11" s="31"/>
      <c r="H11" s="187"/>
      <c r="I11" s="6"/>
    </row>
    <row r="12" spans="1:9" ht="15.75">
      <c r="A12" s="188"/>
      <c r="B12" s="188"/>
      <c r="C12" s="29" t="s">
        <v>49</v>
      </c>
      <c r="D12" s="29" t="s">
        <v>111</v>
      </c>
      <c r="E12" s="31"/>
      <c r="F12" s="31"/>
      <c r="G12" s="31">
        <v>5</v>
      </c>
      <c r="H12" s="188"/>
      <c r="I12" s="6"/>
    </row>
    <row r="13" spans="1:9" ht="31.5">
      <c r="A13" s="186">
        <v>3</v>
      </c>
      <c r="B13" s="189" t="s">
        <v>24</v>
      </c>
      <c r="C13" s="29" t="s">
        <v>51</v>
      </c>
      <c r="D13" s="30" t="s">
        <v>95</v>
      </c>
      <c r="E13" s="31"/>
      <c r="F13" s="31"/>
      <c r="G13" s="31">
        <v>4</v>
      </c>
      <c r="H13" s="190">
        <f>SUM(G13,G14,E15,G15,G16)</f>
        <v>16</v>
      </c>
      <c r="I13" s="6"/>
    </row>
    <row r="14" spans="1:9" ht="31.5">
      <c r="A14" s="187"/>
      <c r="B14" s="187"/>
      <c r="C14" s="29" t="s">
        <v>52</v>
      </c>
      <c r="D14" s="30" t="s">
        <v>95</v>
      </c>
      <c r="E14" s="31"/>
      <c r="F14" s="31"/>
      <c r="G14" s="31">
        <v>4</v>
      </c>
      <c r="H14" s="187"/>
      <c r="I14" s="6"/>
    </row>
    <row r="15" spans="1:9" ht="15.75">
      <c r="A15" s="187"/>
      <c r="B15" s="187"/>
      <c r="C15" s="29" t="s">
        <v>50</v>
      </c>
      <c r="D15" s="30" t="s">
        <v>92</v>
      </c>
      <c r="E15" s="31">
        <v>2</v>
      </c>
      <c r="F15" s="31"/>
      <c r="G15" s="31"/>
      <c r="H15" s="187"/>
      <c r="I15" s="6"/>
    </row>
    <row r="16" spans="1:9" ht="15.75">
      <c r="A16" s="188"/>
      <c r="B16" s="188"/>
      <c r="C16" s="29" t="s">
        <v>49</v>
      </c>
      <c r="D16" s="29" t="s">
        <v>111</v>
      </c>
      <c r="E16" s="31"/>
      <c r="F16" s="31"/>
      <c r="G16" s="31">
        <v>6</v>
      </c>
      <c r="H16" s="188"/>
      <c r="I16" s="6"/>
    </row>
    <row r="17" spans="1:9" ht="15.75">
      <c r="A17" s="186">
        <v>4</v>
      </c>
      <c r="B17" s="189" t="s">
        <v>25</v>
      </c>
      <c r="C17" s="29" t="s">
        <v>51</v>
      </c>
      <c r="D17" s="30" t="s">
        <v>96</v>
      </c>
      <c r="E17" s="31">
        <v>4</v>
      </c>
      <c r="F17" s="31"/>
      <c r="G17" s="31"/>
      <c r="H17" s="190">
        <f>SUM(E17,G18,G19)</f>
        <v>18</v>
      </c>
      <c r="I17" s="6"/>
    </row>
    <row r="18" spans="1:9" ht="36.75" customHeight="1">
      <c r="A18" s="187"/>
      <c r="B18" s="187"/>
      <c r="C18" s="29" t="s">
        <v>51</v>
      </c>
      <c r="D18" s="30" t="s">
        <v>97</v>
      </c>
      <c r="E18" s="31"/>
      <c r="F18" s="31"/>
      <c r="G18" s="31">
        <v>8</v>
      </c>
      <c r="H18" s="187"/>
      <c r="I18" s="6" t="s">
        <v>126</v>
      </c>
    </row>
    <row r="19" spans="1:9" ht="15.75">
      <c r="A19" s="188"/>
      <c r="B19" s="188"/>
      <c r="C19" s="29" t="s">
        <v>49</v>
      </c>
      <c r="D19" s="29" t="s">
        <v>111</v>
      </c>
      <c r="E19" s="31"/>
      <c r="F19" s="31"/>
      <c r="G19" s="31">
        <v>6</v>
      </c>
      <c r="H19" s="188"/>
      <c r="I19" s="6"/>
    </row>
    <row r="20" spans="1:9" ht="15.75">
      <c r="A20" s="186">
        <v>5</v>
      </c>
      <c r="B20" s="196" t="s">
        <v>26</v>
      </c>
      <c r="C20" s="29" t="s">
        <v>53</v>
      </c>
      <c r="D20" s="34" t="s">
        <v>98</v>
      </c>
      <c r="E20" s="31">
        <v>6</v>
      </c>
      <c r="F20" s="31"/>
      <c r="G20" s="31"/>
      <c r="H20" s="190">
        <f>SUM(E20,G21,G22)</f>
        <v>18</v>
      </c>
      <c r="I20" s="6"/>
    </row>
    <row r="21" spans="1:9" ht="15.75">
      <c r="A21" s="187"/>
      <c r="B21" s="197"/>
      <c r="C21" s="35" t="s">
        <v>53</v>
      </c>
      <c r="D21" s="36" t="s">
        <v>99</v>
      </c>
      <c r="E21" s="37"/>
      <c r="F21" s="37"/>
      <c r="G21" s="37">
        <v>6</v>
      </c>
      <c r="H21" s="187"/>
      <c r="I21" s="6"/>
    </row>
    <row r="22" spans="1:9" ht="15.75">
      <c r="A22" s="187"/>
      <c r="B22" s="197"/>
      <c r="C22" s="29" t="s">
        <v>49</v>
      </c>
      <c r="D22" s="29" t="s">
        <v>111</v>
      </c>
      <c r="E22" s="33"/>
      <c r="F22" s="33"/>
      <c r="G22" s="38">
        <v>6</v>
      </c>
      <c r="H22" s="198"/>
      <c r="I22" s="6"/>
    </row>
    <row r="23" spans="1:9" ht="15.75">
      <c r="A23" s="199">
        <v>6</v>
      </c>
      <c r="B23" s="202" t="s">
        <v>83</v>
      </c>
      <c r="C23" s="39" t="s">
        <v>40</v>
      </c>
      <c r="D23" s="40" t="s">
        <v>100</v>
      </c>
      <c r="E23" s="41">
        <v>3</v>
      </c>
      <c r="F23" s="41">
        <v>1</v>
      </c>
      <c r="G23" s="71"/>
      <c r="H23" s="204">
        <f>SUM(E23,F23,E24,F24,E25,G26)</f>
        <v>14</v>
      </c>
      <c r="I23" s="6"/>
    </row>
    <row r="24" spans="1:9" ht="31.5">
      <c r="A24" s="200"/>
      <c r="B24" s="203"/>
      <c r="C24" s="42" t="s">
        <v>42</v>
      </c>
      <c r="D24" s="84" t="s">
        <v>101</v>
      </c>
      <c r="E24" s="43">
        <v>3</v>
      </c>
      <c r="F24" s="43">
        <v>1</v>
      </c>
      <c r="G24" s="71"/>
      <c r="H24" s="203"/>
      <c r="I24" s="6"/>
    </row>
    <row r="25" spans="1:9" ht="15.75">
      <c r="A25" s="200"/>
      <c r="B25" s="203"/>
      <c r="C25" s="44" t="s">
        <v>54</v>
      </c>
      <c r="D25" s="33" t="s">
        <v>102</v>
      </c>
      <c r="E25" s="38">
        <v>3</v>
      </c>
      <c r="F25" s="43"/>
      <c r="G25" s="73"/>
      <c r="H25" s="203"/>
      <c r="I25" s="6"/>
    </row>
    <row r="26" spans="1:9" ht="15.75">
      <c r="A26" s="201"/>
      <c r="B26" s="203"/>
      <c r="C26" s="35" t="s">
        <v>49</v>
      </c>
      <c r="D26" s="35" t="s">
        <v>111</v>
      </c>
      <c r="E26" s="37"/>
      <c r="F26" s="37"/>
      <c r="G26" s="37">
        <v>3</v>
      </c>
      <c r="H26" s="205"/>
      <c r="I26" s="6"/>
    </row>
    <row r="27" spans="1:9" ht="15.75">
      <c r="A27" s="186">
        <v>7</v>
      </c>
      <c r="B27" s="196" t="s">
        <v>28</v>
      </c>
      <c r="C27" s="45" t="s">
        <v>52</v>
      </c>
      <c r="D27" s="46" t="s">
        <v>96</v>
      </c>
      <c r="E27" s="47">
        <v>2</v>
      </c>
      <c r="F27" s="48"/>
      <c r="G27" s="48"/>
      <c r="H27" s="204">
        <f>SUM(E27,G28,G29,G30)</f>
        <v>14</v>
      </c>
      <c r="I27" s="6"/>
    </row>
    <row r="28" spans="1:9" ht="15.75">
      <c r="A28" s="187"/>
      <c r="B28" s="197"/>
      <c r="C28" s="45" t="s">
        <v>52</v>
      </c>
      <c r="D28" s="46" t="s">
        <v>97</v>
      </c>
      <c r="E28" s="47"/>
      <c r="F28" s="46"/>
      <c r="G28" s="48">
        <v>4</v>
      </c>
      <c r="H28" s="203"/>
      <c r="I28" s="6"/>
    </row>
    <row r="29" spans="1:9" ht="15.75">
      <c r="A29" s="187"/>
      <c r="B29" s="197"/>
      <c r="C29" s="46" t="s">
        <v>42</v>
      </c>
      <c r="D29" s="46" t="s">
        <v>105</v>
      </c>
      <c r="E29" s="46"/>
      <c r="F29" s="46"/>
      <c r="G29" s="47">
        <v>2</v>
      </c>
      <c r="H29" s="203"/>
      <c r="I29" s="6"/>
    </row>
    <row r="30" spans="1:9" ht="15.75">
      <c r="A30" s="187"/>
      <c r="B30" s="197"/>
      <c r="C30" s="45" t="s">
        <v>49</v>
      </c>
      <c r="D30" s="45" t="s">
        <v>111</v>
      </c>
      <c r="E30" s="46"/>
      <c r="F30" s="46"/>
      <c r="G30" s="48">
        <v>6</v>
      </c>
      <c r="H30" s="203"/>
      <c r="I30" s="6"/>
    </row>
    <row r="31" spans="1:9" ht="15.75">
      <c r="A31" s="186">
        <v>8</v>
      </c>
      <c r="B31" s="196" t="s">
        <v>27</v>
      </c>
      <c r="C31" s="49" t="s">
        <v>51</v>
      </c>
      <c r="D31" s="49" t="s">
        <v>91</v>
      </c>
      <c r="E31" s="50">
        <v>3</v>
      </c>
      <c r="F31" s="50"/>
      <c r="G31" s="50"/>
      <c r="H31" s="206">
        <f>SUM(E31,E32,G34,G33,G35)</f>
        <v>16</v>
      </c>
      <c r="I31" s="6"/>
    </row>
    <row r="32" spans="1:9" ht="15.75">
      <c r="A32" s="187"/>
      <c r="B32" s="197"/>
      <c r="C32" s="29" t="s">
        <v>52</v>
      </c>
      <c r="D32" s="29" t="s">
        <v>91</v>
      </c>
      <c r="E32" s="31">
        <v>3</v>
      </c>
      <c r="F32" s="31"/>
      <c r="G32" s="31"/>
      <c r="H32" s="187"/>
      <c r="I32" s="6"/>
    </row>
    <row r="33" spans="1:9" ht="15.75">
      <c r="A33" s="187"/>
      <c r="B33" s="197"/>
      <c r="C33" s="29" t="s">
        <v>55</v>
      </c>
      <c r="D33" s="29" t="s">
        <v>93</v>
      </c>
      <c r="E33" s="31"/>
      <c r="F33" s="31"/>
      <c r="G33" s="31">
        <v>2</v>
      </c>
      <c r="H33" s="187"/>
      <c r="I33" s="6"/>
    </row>
    <row r="34" spans="1:9" ht="15.75">
      <c r="A34" s="187"/>
      <c r="B34" s="197"/>
      <c r="C34" s="29" t="s">
        <v>51</v>
      </c>
      <c r="D34" s="29" t="s">
        <v>93</v>
      </c>
      <c r="E34" s="31"/>
      <c r="F34" s="31"/>
      <c r="G34" s="31">
        <v>2</v>
      </c>
      <c r="H34" s="187"/>
      <c r="I34" s="6"/>
    </row>
    <row r="35" spans="1:9" ht="15.75">
      <c r="A35" s="187"/>
      <c r="B35" s="197"/>
      <c r="C35" s="29" t="s">
        <v>49</v>
      </c>
      <c r="D35" s="29" t="s">
        <v>111</v>
      </c>
      <c r="E35" s="38"/>
      <c r="F35" s="38"/>
      <c r="G35" s="38">
        <v>6</v>
      </c>
      <c r="H35" s="187"/>
      <c r="I35" s="6"/>
    </row>
    <row r="36" spans="1:9" ht="15.75">
      <c r="A36" s="207">
        <v>9</v>
      </c>
      <c r="B36" s="202" t="s">
        <v>84</v>
      </c>
      <c r="C36" s="51" t="s">
        <v>42</v>
      </c>
      <c r="D36" s="52" t="s">
        <v>88</v>
      </c>
      <c r="E36" s="53">
        <v>3</v>
      </c>
      <c r="F36" s="53"/>
      <c r="G36" s="54"/>
      <c r="H36" s="204">
        <f>SUM(E36,E38,G37,G39,G40)</f>
        <v>16</v>
      </c>
      <c r="I36" s="6"/>
    </row>
    <row r="37" spans="1:9" ht="15.75">
      <c r="A37" s="203"/>
      <c r="B37" s="203"/>
      <c r="C37" s="55" t="s">
        <v>42</v>
      </c>
      <c r="D37" s="29" t="s">
        <v>89</v>
      </c>
      <c r="E37" s="38"/>
      <c r="F37" s="38"/>
      <c r="G37" s="56">
        <v>4</v>
      </c>
      <c r="H37" s="203"/>
      <c r="I37" s="6"/>
    </row>
    <row r="38" spans="1:9" ht="31.5">
      <c r="A38" s="203"/>
      <c r="B38" s="203"/>
      <c r="C38" s="57" t="s">
        <v>56</v>
      </c>
      <c r="D38" s="58" t="s">
        <v>104</v>
      </c>
      <c r="E38" s="59">
        <v>3</v>
      </c>
      <c r="F38" s="59"/>
      <c r="G38" s="60"/>
      <c r="H38" s="203"/>
      <c r="I38" s="6"/>
    </row>
    <row r="39" spans="1:9" ht="15.75">
      <c r="A39" s="203"/>
      <c r="B39" s="203"/>
      <c r="C39" s="45" t="s">
        <v>56</v>
      </c>
      <c r="D39" s="45" t="s">
        <v>57</v>
      </c>
      <c r="E39" s="48"/>
      <c r="F39" s="48"/>
      <c r="G39" s="61">
        <v>4</v>
      </c>
      <c r="H39" s="203"/>
      <c r="I39" s="6"/>
    </row>
    <row r="40" spans="1:9" ht="15.75">
      <c r="A40" s="203"/>
      <c r="B40" s="203"/>
      <c r="C40" s="45" t="s">
        <v>51</v>
      </c>
      <c r="D40" s="45" t="s">
        <v>93</v>
      </c>
      <c r="E40" s="47"/>
      <c r="F40" s="47"/>
      <c r="G40" s="62">
        <v>2</v>
      </c>
      <c r="H40" s="203"/>
      <c r="I40" s="6"/>
    </row>
    <row r="41" spans="1:9" ht="15.75">
      <c r="A41" s="207">
        <v>10</v>
      </c>
      <c r="B41" s="202" t="s">
        <v>29</v>
      </c>
      <c r="C41" s="63" t="s">
        <v>52</v>
      </c>
      <c r="D41" s="46" t="s">
        <v>58</v>
      </c>
      <c r="E41" s="48">
        <v>3</v>
      </c>
      <c r="F41" s="48"/>
      <c r="G41" s="48"/>
      <c r="H41" s="204">
        <f>SUM(E41,E42,E43,G44,G45)</f>
        <v>17</v>
      </c>
      <c r="I41" s="6"/>
    </row>
    <row r="42" spans="1:9" ht="15.75">
      <c r="A42" s="203"/>
      <c r="B42" s="203"/>
      <c r="C42" s="63" t="s">
        <v>50</v>
      </c>
      <c r="D42" s="46" t="s">
        <v>59</v>
      </c>
      <c r="E42" s="48">
        <v>3</v>
      </c>
      <c r="F42" s="48"/>
      <c r="G42" s="48"/>
      <c r="H42" s="203"/>
      <c r="I42" s="6"/>
    </row>
    <row r="43" spans="1:9" ht="15.75">
      <c r="A43" s="203"/>
      <c r="B43" s="203"/>
      <c r="C43" s="63" t="s">
        <v>60</v>
      </c>
      <c r="D43" s="46" t="s">
        <v>109</v>
      </c>
      <c r="E43" s="48">
        <v>3</v>
      </c>
      <c r="F43" s="48"/>
      <c r="G43" s="48"/>
      <c r="H43" s="203"/>
      <c r="I43" s="6"/>
    </row>
    <row r="44" spans="1:9" ht="15.75">
      <c r="A44" s="203"/>
      <c r="B44" s="203"/>
      <c r="C44" s="45" t="s">
        <v>52</v>
      </c>
      <c r="D44" s="45" t="s">
        <v>93</v>
      </c>
      <c r="E44" s="47"/>
      <c r="F44" s="47"/>
      <c r="G44" s="47">
        <v>2</v>
      </c>
      <c r="H44" s="203"/>
      <c r="I44" s="6"/>
    </row>
    <row r="45" spans="1:9" ht="15.75">
      <c r="A45" s="203"/>
      <c r="B45" s="203"/>
      <c r="C45" s="45" t="s">
        <v>49</v>
      </c>
      <c r="D45" s="45" t="s">
        <v>111</v>
      </c>
      <c r="E45" s="46"/>
      <c r="F45" s="46"/>
      <c r="G45" s="48">
        <v>6</v>
      </c>
      <c r="H45" s="203"/>
      <c r="I45" s="6"/>
    </row>
    <row r="46" spans="1:9" ht="15.75">
      <c r="A46" s="208">
        <v>11</v>
      </c>
      <c r="B46" s="209" t="s">
        <v>30</v>
      </c>
      <c r="C46" s="49" t="s">
        <v>61</v>
      </c>
      <c r="D46" s="64" t="s">
        <v>62</v>
      </c>
      <c r="E46" s="53">
        <v>3</v>
      </c>
      <c r="F46" s="53">
        <v>1</v>
      </c>
      <c r="G46" s="53"/>
      <c r="H46" s="206">
        <f>SUM(E46,E48,F46,G47,G49)</f>
        <v>17</v>
      </c>
      <c r="I46" s="6"/>
    </row>
    <row r="47" spans="1:9" ht="15.75">
      <c r="A47" s="187"/>
      <c r="B47" s="197"/>
      <c r="C47" s="29" t="s">
        <v>50</v>
      </c>
      <c r="D47" s="33" t="s">
        <v>107</v>
      </c>
      <c r="E47" s="38"/>
      <c r="F47" s="38"/>
      <c r="G47" s="38">
        <v>4</v>
      </c>
      <c r="H47" s="187"/>
      <c r="I47" s="6"/>
    </row>
    <row r="48" spans="1:9" ht="15.75">
      <c r="A48" s="187"/>
      <c r="B48" s="197"/>
      <c r="C48" s="44" t="s">
        <v>60</v>
      </c>
      <c r="D48" s="33" t="s">
        <v>110</v>
      </c>
      <c r="E48" s="38">
        <v>3</v>
      </c>
      <c r="F48" s="38"/>
      <c r="G48" s="38"/>
      <c r="H48" s="187"/>
      <c r="I48" s="6"/>
    </row>
    <row r="49" spans="1:9" ht="15.75">
      <c r="A49" s="187"/>
      <c r="B49" s="197"/>
      <c r="C49" s="29" t="s">
        <v>49</v>
      </c>
      <c r="D49" s="29" t="s">
        <v>111</v>
      </c>
      <c r="E49" s="33"/>
      <c r="F49" s="33"/>
      <c r="G49" s="38">
        <v>6</v>
      </c>
      <c r="H49" s="187"/>
      <c r="I49" s="6"/>
    </row>
    <row r="50" spans="1:9" ht="15.75">
      <c r="A50" s="186">
        <v>12</v>
      </c>
      <c r="B50" s="196" t="s">
        <v>31</v>
      </c>
      <c r="C50" s="33" t="s">
        <v>63</v>
      </c>
      <c r="D50" s="33" t="s">
        <v>64</v>
      </c>
      <c r="E50" s="31">
        <v>3</v>
      </c>
      <c r="F50" s="31">
        <v>1</v>
      </c>
      <c r="G50" s="33"/>
      <c r="H50" s="190">
        <f>SUM(E50,E51,F50,F53,G53,G54)</f>
        <v>17</v>
      </c>
      <c r="I50" s="6"/>
    </row>
    <row r="51" spans="1:9" ht="15.75">
      <c r="A51" s="187"/>
      <c r="B51" s="197"/>
      <c r="C51" s="29" t="s">
        <v>40</v>
      </c>
      <c r="D51" s="33" t="s">
        <v>65</v>
      </c>
      <c r="E51" s="38">
        <v>3</v>
      </c>
      <c r="F51" s="38"/>
      <c r="G51" s="38"/>
      <c r="H51" s="187"/>
      <c r="I51" s="6"/>
    </row>
    <row r="52" spans="1:9" ht="15.75">
      <c r="A52" s="187"/>
      <c r="B52" s="197"/>
      <c r="C52" s="29" t="s">
        <v>42</v>
      </c>
      <c r="D52" s="33" t="s">
        <v>65</v>
      </c>
      <c r="E52" s="38"/>
      <c r="F52" s="38"/>
      <c r="G52" s="38"/>
      <c r="H52" s="187"/>
      <c r="I52" s="6"/>
    </row>
    <row r="53" spans="1:9" ht="15.75">
      <c r="A53" s="187"/>
      <c r="B53" s="197"/>
      <c r="C53" s="29" t="s">
        <v>56</v>
      </c>
      <c r="D53" s="33" t="s">
        <v>106</v>
      </c>
      <c r="E53" s="38"/>
      <c r="F53" s="38"/>
      <c r="G53" s="38">
        <v>4</v>
      </c>
      <c r="H53" s="187"/>
      <c r="I53" s="6"/>
    </row>
    <row r="54" spans="1:9" ht="15.75">
      <c r="A54" s="188"/>
      <c r="B54" s="210"/>
      <c r="C54" s="29" t="s">
        <v>49</v>
      </c>
      <c r="D54" s="29" t="s">
        <v>111</v>
      </c>
      <c r="E54" s="38"/>
      <c r="F54" s="38"/>
      <c r="G54" s="38">
        <v>6</v>
      </c>
      <c r="H54" s="188"/>
      <c r="I54" s="6"/>
    </row>
    <row r="55" spans="1:9" ht="15.75">
      <c r="A55" s="186">
        <v>13</v>
      </c>
      <c r="B55" s="196" t="s">
        <v>32</v>
      </c>
      <c r="C55" s="29" t="s">
        <v>51</v>
      </c>
      <c r="D55" s="33" t="s">
        <v>108</v>
      </c>
      <c r="E55" s="38"/>
      <c r="F55" s="38"/>
      <c r="G55" s="38">
        <v>4</v>
      </c>
      <c r="H55" s="190">
        <f>SUM(G55,G56,G57,E58)</f>
        <v>15</v>
      </c>
      <c r="I55" s="6"/>
    </row>
    <row r="56" spans="1:9" ht="15.75">
      <c r="A56" s="187"/>
      <c r="B56" s="197"/>
      <c r="C56" s="29" t="s">
        <v>52</v>
      </c>
      <c r="D56" s="33" t="s">
        <v>108</v>
      </c>
      <c r="E56" s="38"/>
      <c r="F56" s="38"/>
      <c r="G56" s="38">
        <v>4</v>
      </c>
      <c r="H56" s="187"/>
      <c r="I56" s="6"/>
    </row>
    <row r="57" spans="1:9" ht="15.75">
      <c r="A57" s="187"/>
      <c r="B57" s="197"/>
      <c r="C57" s="29" t="s">
        <v>50</v>
      </c>
      <c r="D57" s="33" t="s">
        <v>108</v>
      </c>
      <c r="E57" s="38"/>
      <c r="F57" s="38"/>
      <c r="G57" s="38">
        <v>4</v>
      </c>
      <c r="H57" s="187"/>
      <c r="I57" s="6"/>
    </row>
    <row r="58" spans="1:9" ht="15.75">
      <c r="A58" s="187"/>
      <c r="B58" s="197"/>
      <c r="C58" s="44" t="s">
        <v>54</v>
      </c>
      <c r="D58" s="33" t="s">
        <v>102</v>
      </c>
      <c r="E58" s="38">
        <v>3</v>
      </c>
      <c r="F58" s="38"/>
      <c r="G58" s="38"/>
      <c r="H58" s="188"/>
      <c r="I58" s="6"/>
    </row>
    <row r="59" spans="1:9" ht="31.5">
      <c r="A59" s="205">
        <v>14</v>
      </c>
      <c r="B59" s="205"/>
      <c r="C59" s="147" t="s">
        <v>56</v>
      </c>
      <c r="D59" s="70" t="s">
        <v>100</v>
      </c>
      <c r="E59" s="38">
        <v>3</v>
      </c>
      <c r="F59" s="38"/>
      <c r="G59" s="38"/>
      <c r="H59" s="211">
        <f>SUM(E59:G62)</f>
        <v>15</v>
      </c>
      <c r="I59" s="6"/>
    </row>
    <row r="60" spans="1:9" ht="31.5">
      <c r="A60" s="184"/>
      <c r="B60" s="184"/>
      <c r="C60" s="55" t="s">
        <v>56</v>
      </c>
      <c r="D60" s="70" t="s">
        <v>101</v>
      </c>
      <c r="E60" s="38"/>
      <c r="F60" s="38">
        <v>4</v>
      </c>
      <c r="G60" s="38"/>
      <c r="H60" s="212"/>
      <c r="I60" s="6"/>
    </row>
    <row r="61" spans="1:9" ht="15.75">
      <c r="A61" s="184"/>
      <c r="B61" s="184"/>
      <c r="C61" s="147" t="s">
        <v>56</v>
      </c>
      <c r="D61" s="33" t="s">
        <v>106</v>
      </c>
      <c r="E61" s="38"/>
      <c r="F61" s="38"/>
      <c r="G61" s="38">
        <v>2</v>
      </c>
      <c r="H61" s="212"/>
      <c r="I61" s="6"/>
    </row>
    <row r="62" spans="1:9" ht="15.75">
      <c r="A62" s="185"/>
      <c r="B62" s="185"/>
      <c r="C62" s="57" t="s">
        <v>49</v>
      </c>
      <c r="D62" s="35" t="s">
        <v>111</v>
      </c>
      <c r="E62" s="65"/>
      <c r="F62" s="65"/>
      <c r="G62" s="59">
        <v>6</v>
      </c>
      <c r="H62" s="213"/>
      <c r="I62" s="6"/>
    </row>
    <row r="63" spans="1:9" ht="31.5">
      <c r="A63" s="207">
        <v>15</v>
      </c>
      <c r="B63" s="202" t="s">
        <v>33</v>
      </c>
      <c r="C63" s="45" t="s">
        <v>42</v>
      </c>
      <c r="D63" s="66" t="s">
        <v>90</v>
      </c>
      <c r="E63" s="48">
        <v>2</v>
      </c>
      <c r="F63" s="48"/>
      <c r="G63" s="48"/>
      <c r="H63" s="204">
        <f>SUM(E63,E66,G64,G67,G68)</f>
        <v>8</v>
      </c>
      <c r="I63" s="6"/>
    </row>
    <row r="64" spans="1:9" ht="15.75">
      <c r="A64" s="203"/>
      <c r="B64" s="203"/>
      <c r="C64" s="63" t="s">
        <v>56</v>
      </c>
      <c r="D64" s="45" t="s">
        <v>103</v>
      </c>
      <c r="E64" s="48"/>
      <c r="F64" s="48"/>
      <c r="G64" s="48"/>
      <c r="H64" s="203"/>
      <c r="I64" s="6"/>
    </row>
    <row r="65" spans="1:9" ht="15.75">
      <c r="A65" s="203"/>
      <c r="B65" s="203"/>
      <c r="C65" s="63"/>
      <c r="D65" s="45" t="s">
        <v>126</v>
      </c>
      <c r="E65" s="48"/>
      <c r="F65" s="48"/>
      <c r="G65" s="48"/>
      <c r="H65" s="203"/>
      <c r="I65" s="6"/>
    </row>
    <row r="66" spans="1:9" ht="31.5">
      <c r="A66" s="203"/>
      <c r="B66" s="203"/>
      <c r="C66" s="45" t="s">
        <v>42</v>
      </c>
      <c r="D66" s="66" t="s">
        <v>90</v>
      </c>
      <c r="E66" s="48">
        <v>3</v>
      </c>
      <c r="F66" s="48"/>
      <c r="G66" s="48"/>
      <c r="H66" s="203"/>
      <c r="I66" s="6"/>
    </row>
    <row r="67" spans="1:9" ht="15.75">
      <c r="A67" s="203"/>
      <c r="B67" s="203"/>
      <c r="C67" s="63" t="s">
        <v>56</v>
      </c>
      <c r="D67" s="45" t="s">
        <v>103</v>
      </c>
      <c r="E67" s="48"/>
      <c r="F67" s="48"/>
      <c r="G67" s="48"/>
      <c r="H67" s="203"/>
      <c r="I67" s="6"/>
    </row>
    <row r="68" spans="1:9" ht="15.75">
      <c r="A68" s="203"/>
      <c r="B68" s="203"/>
      <c r="C68" s="45" t="s">
        <v>49</v>
      </c>
      <c r="D68" s="45" t="s">
        <v>111</v>
      </c>
      <c r="E68" s="46"/>
      <c r="F68" s="46"/>
      <c r="G68" s="48">
        <v>3</v>
      </c>
      <c r="H68" s="203"/>
      <c r="I68" s="6"/>
    </row>
    <row r="69" spans="1:9" ht="15.75">
      <c r="A69" s="73"/>
      <c r="B69" s="73"/>
      <c r="C69" s="67"/>
      <c r="D69" s="67"/>
      <c r="E69" s="68"/>
      <c r="F69" s="68"/>
      <c r="G69" s="69"/>
      <c r="H69" s="73"/>
      <c r="I69" s="6"/>
    </row>
    <row r="70" spans="1:9" ht="15.75">
      <c r="A70" s="73"/>
      <c r="B70" s="73"/>
      <c r="C70" s="67"/>
      <c r="D70" s="67"/>
      <c r="E70" s="68"/>
      <c r="F70" s="68"/>
      <c r="G70" s="69"/>
      <c r="H70" s="73"/>
      <c r="I70" s="6"/>
    </row>
    <row r="71" spans="1:9" ht="29.25" customHeight="1">
      <c r="A71" s="73"/>
      <c r="B71" s="73"/>
      <c r="C71" s="67"/>
      <c r="D71" s="67"/>
      <c r="E71" s="68"/>
      <c r="F71" s="68"/>
      <c r="G71" s="69"/>
      <c r="H71" s="73"/>
      <c r="I71" s="6"/>
    </row>
    <row r="72" spans="1:9" ht="15.75">
      <c r="A72" s="207">
        <v>16</v>
      </c>
      <c r="B72" s="202" t="s">
        <v>34</v>
      </c>
      <c r="C72" s="63" t="s">
        <v>51</v>
      </c>
      <c r="D72" s="46" t="s">
        <v>59</v>
      </c>
      <c r="E72" s="48">
        <v>3</v>
      </c>
      <c r="F72" s="48"/>
      <c r="G72" s="48"/>
      <c r="H72" s="204">
        <v>16</v>
      </c>
      <c r="I72" s="6"/>
    </row>
    <row r="73" spans="1:9" ht="15.75">
      <c r="A73" s="203"/>
      <c r="B73" s="203"/>
      <c r="C73" s="45" t="s">
        <v>50</v>
      </c>
      <c r="D73" s="46" t="s">
        <v>66</v>
      </c>
      <c r="E73" s="48"/>
      <c r="F73" s="48"/>
      <c r="G73" s="48">
        <v>4</v>
      </c>
      <c r="H73" s="203"/>
      <c r="I73" s="6"/>
    </row>
    <row r="74" spans="1:9" ht="31.5">
      <c r="A74" s="203"/>
      <c r="B74" s="203"/>
      <c r="C74" s="29" t="s">
        <v>69</v>
      </c>
      <c r="D74" s="70" t="s">
        <v>198</v>
      </c>
      <c r="E74" s="38">
        <v>3</v>
      </c>
      <c r="F74" s="38"/>
      <c r="G74" s="38"/>
      <c r="H74" s="203"/>
      <c r="I74" s="6"/>
    </row>
    <row r="75" spans="1:9" ht="15.75">
      <c r="A75" s="203"/>
      <c r="B75" s="203"/>
      <c r="C75" s="45" t="s">
        <v>49</v>
      </c>
      <c r="D75" s="45" t="s">
        <v>111</v>
      </c>
      <c r="E75" s="46"/>
      <c r="F75" s="46"/>
      <c r="G75" s="48">
        <v>6</v>
      </c>
      <c r="H75" s="203"/>
      <c r="I75" s="6"/>
    </row>
    <row r="76" spans="1:9" ht="15.75">
      <c r="A76" s="214">
        <v>17</v>
      </c>
      <c r="B76" s="217" t="s">
        <v>85</v>
      </c>
      <c r="C76" s="77" t="s">
        <v>67</v>
      </c>
      <c r="D76" s="78" t="s">
        <v>68</v>
      </c>
      <c r="E76" s="79">
        <v>6</v>
      </c>
      <c r="F76" s="79"/>
      <c r="G76" s="79"/>
      <c r="H76" s="219">
        <f>SUM(E76,E77,G78,G79)</f>
        <v>15</v>
      </c>
      <c r="I76" s="6"/>
    </row>
    <row r="77" spans="1:9" ht="15.75">
      <c r="A77" s="215"/>
      <c r="B77" s="197"/>
      <c r="C77" s="29" t="s">
        <v>69</v>
      </c>
      <c r="D77" s="70" t="s">
        <v>199</v>
      </c>
      <c r="E77" s="38">
        <v>3</v>
      </c>
      <c r="F77" s="38"/>
      <c r="G77" s="38"/>
      <c r="H77" s="220"/>
      <c r="I77" s="6"/>
    </row>
    <row r="78" spans="1:9" ht="15.75">
      <c r="A78" s="215"/>
      <c r="B78" s="197"/>
      <c r="C78" s="33" t="s">
        <v>42</v>
      </c>
      <c r="D78" s="33" t="s">
        <v>105</v>
      </c>
      <c r="E78" s="33"/>
      <c r="F78" s="33"/>
      <c r="G78" s="31">
        <v>6</v>
      </c>
      <c r="H78" s="220"/>
      <c r="I78" s="6"/>
    </row>
    <row r="79" spans="1:9" ht="15.75">
      <c r="A79" s="216"/>
      <c r="B79" s="218"/>
      <c r="C79" s="80"/>
      <c r="D79" s="81"/>
      <c r="E79" s="82"/>
      <c r="F79" s="82"/>
      <c r="G79" s="82"/>
      <c r="H79" s="221"/>
      <c r="I79" s="6"/>
    </row>
    <row r="80" spans="1:9" ht="15.75">
      <c r="A80" s="186">
        <v>18</v>
      </c>
      <c r="B80" s="148" t="s">
        <v>180</v>
      </c>
      <c r="C80" s="29" t="s">
        <v>51</v>
      </c>
      <c r="D80" s="29" t="s">
        <v>92</v>
      </c>
      <c r="E80" s="31">
        <v>2</v>
      </c>
      <c r="F80" s="31"/>
      <c r="G80" s="31"/>
      <c r="H80" s="190">
        <f>SUM(E80,E82,E83,G83,G81,G84)</f>
        <v>16</v>
      </c>
      <c r="I80" s="6"/>
    </row>
    <row r="81" spans="1:10" ht="15.75">
      <c r="A81" s="187"/>
      <c r="B81" s="148"/>
      <c r="C81" s="29" t="s">
        <v>52</v>
      </c>
      <c r="D81" s="29" t="s">
        <v>93</v>
      </c>
      <c r="E81" s="31"/>
      <c r="F81" s="31"/>
      <c r="G81" s="31">
        <v>2</v>
      </c>
      <c r="H81" s="187"/>
      <c r="I81" s="6"/>
    </row>
    <row r="82" spans="1:10" ht="15.75">
      <c r="A82" s="187"/>
      <c r="B82" s="148"/>
      <c r="C82" s="29" t="s">
        <v>52</v>
      </c>
      <c r="D82" s="29" t="s">
        <v>92</v>
      </c>
      <c r="E82" s="31">
        <v>2</v>
      </c>
      <c r="F82" s="31"/>
      <c r="G82" s="31"/>
      <c r="H82" s="187"/>
      <c r="I82" s="6"/>
    </row>
    <row r="83" spans="1:10" ht="31.5">
      <c r="A83" s="187"/>
      <c r="B83" s="148"/>
      <c r="C83" s="29" t="s">
        <v>94</v>
      </c>
      <c r="D83" s="30" t="s">
        <v>95</v>
      </c>
      <c r="E83" s="31"/>
      <c r="F83" s="31"/>
      <c r="G83" s="31">
        <v>4</v>
      </c>
      <c r="H83" s="187"/>
      <c r="I83" s="6"/>
    </row>
    <row r="84" spans="1:10" ht="15.75">
      <c r="A84" s="188"/>
      <c r="B84" s="149"/>
      <c r="C84" s="29" t="s">
        <v>49</v>
      </c>
      <c r="D84" s="29" t="s">
        <v>111</v>
      </c>
      <c r="E84" s="33"/>
      <c r="F84" s="31"/>
      <c r="G84" s="31">
        <v>6</v>
      </c>
      <c r="H84" s="187"/>
      <c r="I84" s="6"/>
    </row>
    <row r="85" spans="1:10" ht="15.75">
      <c r="A85" s="148">
        <v>19</v>
      </c>
      <c r="B85" s="148" t="s">
        <v>181</v>
      </c>
      <c r="C85" s="90" t="s">
        <v>161</v>
      </c>
      <c r="D85" s="86" t="s">
        <v>120</v>
      </c>
      <c r="E85" s="90"/>
      <c r="F85" s="102"/>
      <c r="G85" s="144">
        <v>4</v>
      </c>
      <c r="H85" s="183">
        <v>14</v>
      </c>
      <c r="I85" s="96"/>
      <c r="J85" s="182"/>
    </row>
    <row r="86" spans="1:10" ht="31.5">
      <c r="A86" s="148"/>
      <c r="B86" s="148"/>
      <c r="C86" s="87" t="s">
        <v>185</v>
      </c>
      <c r="D86" s="124" t="s">
        <v>184</v>
      </c>
      <c r="E86" s="103">
        <v>3</v>
      </c>
      <c r="F86" s="90"/>
      <c r="G86" s="145"/>
      <c r="H86" s="184"/>
      <c r="I86" s="96"/>
      <c r="J86" s="182"/>
    </row>
    <row r="87" spans="1:10" ht="15.75">
      <c r="A87" s="148"/>
      <c r="B87" s="148"/>
      <c r="C87" s="121" t="s">
        <v>191</v>
      </c>
      <c r="D87" s="122" t="s">
        <v>149</v>
      </c>
      <c r="E87" s="123"/>
      <c r="F87" s="123"/>
      <c r="G87" s="146">
        <v>4</v>
      </c>
      <c r="H87" s="184"/>
      <c r="I87" s="143"/>
      <c r="J87" s="182"/>
    </row>
    <row r="88" spans="1:10" ht="15.75">
      <c r="A88" s="148"/>
      <c r="B88" s="148"/>
      <c r="C88" s="85" t="s">
        <v>35</v>
      </c>
      <c r="D88" s="86" t="s">
        <v>86</v>
      </c>
      <c r="E88" s="91"/>
      <c r="F88" s="90"/>
      <c r="G88" s="145">
        <v>3</v>
      </c>
      <c r="H88" s="184"/>
      <c r="I88" s="143"/>
      <c r="J88" s="182"/>
    </row>
    <row r="89" spans="1:10" ht="15.75">
      <c r="A89" s="129"/>
      <c r="B89" s="94"/>
      <c r="C89" s="140"/>
      <c r="D89" s="140"/>
      <c r="E89" s="141"/>
      <c r="F89" s="142"/>
      <c r="G89" s="142"/>
      <c r="H89" s="185"/>
      <c r="I89" s="6"/>
    </row>
    <row r="90" spans="1:10" ht="31.5">
      <c r="A90" s="148">
        <v>20</v>
      </c>
      <c r="B90" s="148" t="s">
        <v>181</v>
      </c>
      <c r="C90" s="90" t="s">
        <v>161</v>
      </c>
      <c r="D90" s="70" t="s">
        <v>100</v>
      </c>
      <c r="E90" s="90">
        <v>3</v>
      </c>
      <c r="F90" s="102"/>
      <c r="G90" s="144">
        <v>3</v>
      </c>
      <c r="H90" s="183">
        <v>14</v>
      </c>
      <c r="I90" s="6"/>
    </row>
    <row r="91" spans="1:10" ht="31.5">
      <c r="A91" s="148"/>
      <c r="B91" s="148"/>
      <c r="C91" s="87" t="s">
        <v>185</v>
      </c>
      <c r="D91" s="70" t="s">
        <v>101</v>
      </c>
      <c r="E91" s="103"/>
      <c r="F91" s="90"/>
      <c r="G91" s="145">
        <v>4</v>
      </c>
      <c r="H91" s="184"/>
      <c r="I91" s="6"/>
    </row>
    <row r="92" spans="1:10" ht="31.5">
      <c r="A92" s="148"/>
      <c r="B92" s="148"/>
      <c r="C92" s="29" t="s">
        <v>69</v>
      </c>
      <c r="D92" s="70" t="s">
        <v>197</v>
      </c>
      <c r="E92" s="38">
        <v>3</v>
      </c>
      <c r="F92" s="38"/>
      <c r="G92" s="38"/>
      <c r="H92" s="184"/>
      <c r="I92" s="6"/>
    </row>
    <row r="93" spans="1:10" ht="31.5">
      <c r="A93" s="148">
        <v>21</v>
      </c>
      <c r="B93" s="148" t="s">
        <v>182</v>
      </c>
      <c r="C93" s="90" t="s">
        <v>161</v>
      </c>
      <c r="D93" s="30" t="s">
        <v>95</v>
      </c>
      <c r="E93" s="141"/>
      <c r="F93" s="102"/>
      <c r="G93" s="144">
        <v>4</v>
      </c>
      <c r="H93" s="185"/>
      <c r="I93" s="6"/>
    </row>
    <row r="94" spans="1:10" ht="31.5">
      <c r="A94" s="148"/>
      <c r="B94" s="148"/>
      <c r="C94" s="87" t="s">
        <v>185</v>
      </c>
      <c r="D94" s="124" t="s">
        <v>184</v>
      </c>
      <c r="E94" s="90"/>
      <c r="F94" s="90"/>
      <c r="G94" s="145"/>
      <c r="H94" s="183">
        <v>15</v>
      </c>
      <c r="I94" s="6"/>
    </row>
    <row r="95" spans="1:10" ht="15.75">
      <c r="A95" s="148"/>
      <c r="B95" s="148"/>
      <c r="C95" s="121" t="s">
        <v>190</v>
      </c>
      <c r="D95" s="122" t="s">
        <v>196</v>
      </c>
      <c r="E95" s="103">
        <v>4</v>
      </c>
      <c r="F95" s="123"/>
      <c r="G95" s="146">
        <v>4</v>
      </c>
      <c r="H95" s="184"/>
      <c r="I95" s="6"/>
    </row>
    <row r="96" spans="1:10" ht="15.75">
      <c r="A96" s="148"/>
      <c r="B96" s="148"/>
      <c r="C96" s="85" t="s">
        <v>35</v>
      </c>
      <c r="D96" s="86" t="s">
        <v>86</v>
      </c>
      <c r="E96" s="123"/>
      <c r="F96" s="90"/>
      <c r="G96" s="145">
        <v>3</v>
      </c>
      <c r="H96" s="185"/>
      <c r="I96" s="6"/>
    </row>
    <row r="97" spans="1:9" ht="15.75">
      <c r="A97" s="74"/>
      <c r="B97" s="223" t="s">
        <v>70</v>
      </c>
      <c r="C97" s="224"/>
      <c r="D97" s="224"/>
      <c r="E97" s="224"/>
      <c r="F97" s="224"/>
      <c r="G97" s="225"/>
      <c r="H97" s="75">
        <f>SUM(H7:H96)</f>
        <v>322</v>
      </c>
      <c r="I97" s="6"/>
    </row>
    <row r="98" spans="1:9">
      <c r="A98" s="7"/>
      <c r="B98" s="226"/>
      <c r="C98" s="227"/>
      <c r="D98" s="227"/>
      <c r="E98" s="227"/>
      <c r="F98" s="227"/>
      <c r="G98" s="227"/>
      <c r="H98" s="228"/>
      <c r="I98" s="6"/>
    </row>
    <row r="99" spans="1:9">
      <c r="A99" s="6"/>
      <c r="B99" s="9"/>
      <c r="C99" s="9"/>
      <c r="D99" s="6"/>
      <c r="E99" s="8"/>
      <c r="F99" s="8"/>
      <c r="G99" s="8"/>
      <c r="H99" s="8"/>
      <c r="I99" s="6"/>
    </row>
    <row r="100" spans="1:9">
      <c r="A100" s="6"/>
      <c r="B100" s="10" t="s">
        <v>14</v>
      </c>
      <c r="C100" s="9"/>
      <c r="D100" s="6"/>
      <c r="E100" s="8"/>
      <c r="F100" s="8"/>
      <c r="G100" s="8"/>
      <c r="H100" s="8"/>
      <c r="I100" s="6"/>
    </row>
    <row r="101" spans="1:9">
      <c r="A101" s="6"/>
      <c r="B101" s="10"/>
      <c r="C101" s="9"/>
      <c r="D101" s="6"/>
      <c r="E101" s="8"/>
      <c r="F101" s="8"/>
      <c r="G101" s="8"/>
      <c r="H101" s="8"/>
      <c r="I101" s="6"/>
    </row>
    <row r="102" spans="1:9">
      <c r="A102" s="6"/>
      <c r="B102" s="10"/>
      <c r="C102" s="9"/>
      <c r="D102" s="6"/>
      <c r="E102" s="8"/>
      <c r="F102" s="8"/>
      <c r="G102" s="8"/>
      <c r="H102" s="8"/>
      <c r="I102" s="6"/>
    </row>
    <row r="103" spans="1:9">
      <c r="A103" s="6"/>
      <c r="B103" s="10" t="s">
        <v>15</v>
      </c>
      <c r="C103" s="9"/>
      <c r="D103" s="6"/>
      <c r="E103" s="8"/>
      <c r="F103" s="8"/>
      <c r="G103" s="8"/>
      <c r="H103" s="8"/>
      <c r="I103" s="6"/>
    </row>
    <row r="104" spans="1:9">
      <c r="A104" s="6"/>
      <c r="B104" s="10"/>
      <c r="C104" s="9"/>
      <c r="D104" s="6"/>
      <c r="E104" s="8"/>
      <c r="F104" s="8"/>
      <c r="G104" s="8"/>
      <c r="H104" s="8"/>
      <c r="I104" s="6"/>
    </row>
    <row r="105" spans="1:9">
      <c r="A105" s="6"/>
      <c r="B105" s="10"/>
      <c r="C105" s="9"/>
      <c r="D105" s="6"/>
      <c r="E105" s="8"/>
      <c r="F105" s="8"/>
      <c r="G105" s="8"/>
      <c r="H105" s="8"/>
      <c r="I105" s="6"/>
    </row>
    <row r="106" spans="1:9">
      <c r="A106" s="6"/>
      <c r="B106" s="10"/>
      <c r="C106" s="9"/>
      <c r="D106" s="6"/>
      <c r="E106" s="8"/>
      <c r="F106" s="8"/>
      <c r="G106" s="8"/>
      <c r="H106" s="8"/>
      <c r="I106" s="6"/>
    </row>
    <row r="107" spans="1:9">
      <c r="A107" s="6"/>
      <c r="B107" s="9"/>
      <c r="C107" s="9"/>
      <c r="D107" s="6"/>
      <c r="E107" s="8"/>
      <c r="F107" s="8"/>
      <c r="G107" s="8"/>
      <c r="H107" s="8"/>
      <c r="I107" s="6"/>
    </row>
    <row r="108" spans="1:9">
      <c r="A108" s="6"/>
      <c r="B108" s="222" t="s">
        <v>13</v>
      </c>
      <c r="C108" s="222"/>
      <c r="D108" s="11"/>
      <c r="E108" s="222" t="s">
        <v>13</v>
      </c>
      <c r="F108" s="222"/>
      <c r="G108" s="222"/>
      <c r="H108" s="222"/>
      <c r="I108" s="6"/>
    </row>
    <row r="109" spans="1:9">
      <c r="A109" s="6"/>
      <c r="B109" s="222" t="s">
        <v>11</v>
      </c>
      <c r="C109" s="222"/>
      <c r="D109" s="12"/>
      <c r="E109" s="222" t="s">
        <v>12</v>
      </c>
      <c r="F109" s="222"/>
      <c r="G109" s="222"/>
      <c r="H109" s="222"/>
      <c r="I109" s="6"/>
    </row>
  </sheetData>
  <mergeCells count="75">
    <mergeCell ref="B108:C108"/>
    <mergeCell ref="E108:H108"/>
    <mergeCell ref="B109:C109"/>
    <mergeCell ref="E109:H109"/>
    <mergeCell ref="B97:G97"/>
    <mergeCell ref="B98:H98"/>
    <mergeCell ref="A59:A62"/>
    <mergeCell ref="B59:B62"/>
    <mergeCell ref="H59:H62"/>
    <mergeCell ref="A76:A79"/>
    <mergeCell ref="B76:B79"/>
    <mergeCell ref="H76:H79"/>
    <mergeCell ref="A63:A68"/>
    <mergeCell ref="B63:B68"/>
    <mergeCell ref="H63:H68"/>
    <mergeCell ref="A72:A75"/>
    <mergeCell ref="B72:B75"/>
    <mergeCell ref="H72:H75"/>
    <mergeCell ref="A50:A54"/>
    <mergeCell ref="B50:B54"/>
    <mergeCell ref="H50:H54"/>
    <mergeCell ref="A55:A58"/>
    <mergeCell ref="B55:B58"/>
    <mergeCell ref="H55:H58"/>
    <mergeCell ref="A41:A45"/>
    <mergeCell ref="B41:B45"/>
    <mergeCell ref="H41:H45"/>
    <mergeCell ref="A46:A49"/>
    <mergeCell ref="B46:B49"/>
    <mergeCell ref="H46:H49"/>
    <mergeCell ref="A31:A35"/>
    <mergeCell ref="B31:B35"/>
    <mergeCell ref="H31:H35"/>
    <mergeCell ref="A36:A40"/>
    <mergeCell ref="B36:B40"/>
    <mergeCell ref="H36:H40"/>
    <mergeCell ref="B23:B26"/>
    <mergeCell ref="H23:H26"/>
    <mergeCell ref="A27:A30"/>
    <mergeCell ref="B27:B30"/>
    <mergeCell ref="H27:H30"/>
    <mergeCell ref="A10:A12"/>
    <mergeCell ref="B10:B12"/>
    <mergeCell ref="H10:H12"/>
    <mergeCell ref="A80:A84"/>
    <mergeCell ref="B80:B84"/>
    <mergeCell ref="H80:H84"/>
    <mergeCell ref="A13:A16"/>
    <mergeCell ref="B13:B16"/>
    <mergeCell ref="H13:H16"/>
    <mergeCell ref="A17:A19"/>
    <mergeCell ref="B17:B19"/>
    <mergeCell ref="H17:H19"/>
    <mergeCell ref="A20:A22"/>
    <mergeCell ref="B20:B22"/>
    <mergeCell ref="H20:H22"/>
    <mergeCell ref="A23:A26"/>
    <mergeCell ref="A7:A9"/>
    <mergeCell ref="B7:B9"/>
    <mergeCell ref="H7:H9"/>
    <mergeCell ref="A1:H1"/>
    <mergeCell ref="A2:H2"/>
    <mergeCell ref="A3:H3"/>
    <mergeCell ref="A4:H4"/>
    <mergeCell ref="A5:H5"/>
    <mergeCell ref="H94:H96"/>
    <mergeCell ref="B93:B96"/>
    <mergeCell ref="A93:A96"/>
    <mergeCell ref="A90:A92"/>
    <mergeCell ref="B90:B92"/>
    <mergeCell ref="A85:A88"/>
    <mergeCell ref="B85:B88"/>
    <mergeCell ref="J85:J88"/>
    <mergeCell ref="H85:H89"/>
    <mergeCell ref="H90:H93"/>
  </mergeCells>
  <phoneticPr fontId="2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WL Distribution ODD Sem-2026-27</vt:lpstr>
      <vt:lpstr>WLDistribution EVEN Sem-2026-76</vt:lpstr>
      <vt:lpstr>'WL Distribution ODD Sem-2026-27'!Print_Area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admin</cp:lastModifiedBy>
  <cp:lastPrinted>2025-05-24T06:02:37Z</cp:lastPrinted>
  <dcterms:created xsi:type="dcterms:W3CDTF">2017-05-08T04:37:59Z</dcterms:created>
  <dcterms:modified xsi:type="dcterms:W3CDTF">2026-07-08T11:31:53Z</dcterms:modified>
</cp:coreProperties>
</file>